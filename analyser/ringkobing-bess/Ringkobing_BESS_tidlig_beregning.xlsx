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é" sheetId="1" state="visible" r:id="rId3"/>
    <sheet name="Forudsætninger" sheetId="2" state="visible" r:id="rId4"/>
    <sheet name="Backtest" sheetId="3" state="visible" r:id="rId5"/>
    <sheet name="Pessimistisk" sheetId="4" state="visible" r:id="rId6"/>
    <sheet name="Base" sheetId="5" state="visible" r:id="rId7"/>
    <sheet name="Optimistisk" sheetId="6" state="visible" r:id="rId8"/>
    <sheet name="Følsomhed" sheetId="7" state="visible" r:id="rId9"/>
    <sheet name="Kild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<sst xmlns="http://schemas.openxmlformats.org/spreadsheetml/2006/main" count="612" uniqueCount="365">
  <si>
    <t xml:space="preserve">BESS ved Ringkøbing Fjernvarme: tidlig investeringsberegning</t>
  </si>
  <si>
    <t xml:space="preserve">Udarbejdet 13.10.2026 til Kristian Hautorp. Status: TIL GODKENDELSE. Tidlig skrivebordsberegning uden data fra Ringkøbing Fjernvarme (RFV), uden tilbud og uden afklaring med netselskab og Skattestyrelsen.</t>
  </si>
  <si>
    <t xml:space="preserve">Nøgletal</t>
  </si>
  <si>
    <t xml:space="preserve">Pessimistisk</t>
  </si>
  <si>
    <t xml:space="preserve">Base</t>
  </si>
  <si>
    <t xml:space="preserve">Optimistisk</t>
  </si>
  <si>
    <t xml:space="preserve">Effekt (MW)</t>
  </si>
  <si>
    <t xml:space="preserve">Varighed (timer)</t>
  </si>
  <si>
    <t xml:space="preserve">Samlet investering (EUR)</t>
  </si>
  <si>
    <t xml:space="preserve">Investering pr. kWh (EUR)</t>
  </si>
  <si>
    <t xml:space="preserve">Investering pr. MW (EUR)</t>
  </si>
  <si>
    <t xml:space="preserve">Markedsindtægt år 1 pr. MW (EUR)</t>
  </si>
  <si>
    <t xml:space="preserve">EBITDA år 1 (EUR)</t>
  </si>
  <si>
    <t xml:space="preserve">EBITDA år 1 / investering</t>
  </si>
  <si>
    <t xml:space="preserve">IRR før skat (ugearet)</t>
  </si>
  <si>
    <t xml:space="preserve">IRR efter skat (ugearet)</t>
  </si>
  <si>
    <t xml:space="preserve">NPV efter skat ved 8 % (EUR)</t>
  </si>
  <si>
    <t xml:space="preserve">Simpel tilbagebetalingstid (år)</t>
  </si>
  <si>
    <t xml:space="preserve">Hvad flytter base-scenariet? (én ændring ad gangen, IRR efter skat)</t>
  </si>
  <si>
    <t xml:space="preserve">Statiske tal beregnet 13.10.2026 med scripts/kontroller_model.py (samme logik som arkene). Opdateres ikke automatisk.</t>
  </si>
  <si>
    <t xml:space="preserve">Base som beregnet</t>
  </si>
  <si>
    <t xml:space="preserve">ca. -1 %</t>
  </si>
  <si>
    <t xml:space="preserve">Systemydelser holder dagens niveau (70k EUR/MW i stedet for 30k)</t>
  </si>
  <si>
    <t xml:space="preserve">ca. 6 %</t>
  </si>
  <si>
    <t xml:space="preserve">Investering 250 EUR/kWh i stedet for ca. 310</t>
  </si>
  <si>
    <t xml:space="preserve">ca. 2 %</t>
  </si>
  <si>
    <t xml:space="preserve">Ingen betaling til RFV for netadgang</t>
  </si>
  <si>
    <t xml:space="preserve">ca. 1 %</t>
  </si>
  <si>
    <t xml:space="preserve">Intraday/ubalance-tillæg 20 % i stedet for 10 %</t>
  </si>
  <si>
    <t xml:space="preserve">Levetid 20 år i stedet for 15</t>
  </si>
  <si>
    <t xml:space="preserve">4 timer i stedet for 2 timer</t>
  </si>
  <si>
    <t xml:space="preserve">ca. -2 %</t>
  </si>
  <si>
    <t xml:space="preserve">Fuld elafgift 60,9 øre/kWh på opladning</t>
  </si>
  <si>
    <t xml:space="preserve">negativ (casen falder)</t>
  </si>
  <si>
    <t xml:space="preserve">Krav for 8 % efter skat: investering</t>
  </si>
  <si>
    <t xml:space="preserve">ca. 190 EUR/kWh</t>
  </si>
  <si>
    <t xml:space="preserve">Krav for 8 % efter skat: markedsindtægt</t>
  </si>
  <si>
    <t xml:space="preserve">ca. +43 %</t>
  </si>
  <si>
    <t xml:space="preserve">Sådan læses beregningen</t>
  </si>
  <si>
    <t xml:space="preserve">Indtjeningen bygger på en backtest af faktiske DK1-priser fra Energinet (okt. 2025 til okt. 2026), korrigeret for at et rigtigt batteri ikke kender priserne på forhånd. Systemydelser er sat lavere end i dag, fordi priserne allerede er faldet kraftigt, efterhånden som flere batterier er kommet på markedet. Se arket Backtest.</t>
  </si>
  <si>
    <t xml:space="preserve">Base-scenariet er bevidst konservativt. Resultatet er meget følsomt over for investering og markedsindtægt; se arket Følsomhed.</t>
  </si>
  <si>
    <t xml:space="preserve">Stop-risici (skal afklares før der bruges penge på udvikling)</t>
  </si>
  <si>
    <t xml:space="preserve">1. Elafgift: modellen antager godtgørelse ned til 0,4 øre/kWh på opladning. Hvis den fulde afgift (60,9 øre/kWh fra 2028) rammer batteriet, falder business casen. Kræver bindende svar.</t>
  </si>
  <si>
    <t xml:space="preserve">2. Netadgang: om netselskabet tillader et batteri (evt. ejet af et andet selskab end RFV) bag RFV's tilslutning, og om eksisterende kapacitet kan bruges uden nyt tilslutningsbidrag.</t>
  </si>
  <si>
    <t xml:space="preserve">3. Samtidighed: elkedel og gasmotorer bruger tilslutningen i de samme timer, som batteriet vil bruge. Kræver RFV's 15-min. måledata og tilslutningsaftale.</t>
  </si>
  <si>
    <t xml:space="preserve">4. Investering: base svarer til ca. 300 EUR/kWh all-in for 2h. Skal erstattes af 2-3 indikative tilbud.</t>
  </si>
  <si>
    <t xml:space="preserve">5. Selskabsform: RFV er et forbrugerejet a.m.b.a. under varmeforsyningsloven. Deltagelse skal formentlig ske via et separat selskab. Skal verificeres juridisk.</t>
  </si>
  <si>
    <t xml:space="preserve">Bemærk: modellen regner ugearet projektafkast. Gæld hæver kun egenkapitalafkastet, hvis projektafkastet ligger over lånerenten.</t>
  </si>
  <si>
    <t xml:space="preserve">Forudsætninger: BESS ved Ringkøbing Fjernvarme (tidlig beregning, til godkendelse)</t>
  </si>
  <si>
    <t xml:space="preserve">Udarbejdet 13.10.2026. Gule celler er input og kan ændres; scenarie-arkene regner automatisk. Status: Data = fra kilde, Estimat = min vurdering, Skal verificeres / Ved ikke = skal afklares før beslutning.</t>
  </si>
  <si>
    <t xml:space="preserve">Nøgle</t>
  </si>
  <si>
    <t xml:space="preserve">Parameter</t>
  </si>
  <si>
    <t xml:space="preserve">Enhed</t>
  </si>
  <si>
    <t xml:space="preserve">Status</t>
  </si>
  <si>
    <t xml:space="preserve">Kilde / begrundelse</t>
  </si>
  <si>
    <t xml:space="preserve">Projekt</t>
  </si>
  <si>
    <t xml:space="preserve">mw</t>
  </si>
  <si>
    <t xml:space="preserve">Batteriets effekt</t>
  </si>
  <si>
    <t xml:space="preserve">MW</t>
  </si>
  <si>
    <t xml:space="preserve">Ved ikke</t>
  </si>
  <si>
    <t xml:space="preserve">Referencestørrelse. Den reelle størrelse afhænger af ledig import- og eksportkapacitet i RFV's tilslutning, som ikke er kendt.</t>
  </si>
  <si>
    <t xml:space="preserve">dur</t>
  </si>
  <si>
    <t xml:space="preserve">Varighed (1, 2 eller 4 timer)</t>
  </si>
  <si>
    <t xml:space="preserve">timer</t>
  </si>
  <si>
    <t xml:space="preserve">Estimat</t>
  </si>
  <si>
    <t xml:space="preserve">Backtesten findes for 1, 2 og 4 timer (se arket Backtest). 4 timer giver mest indtjening pr. MW nettilslutning, men højere capex.</t>
  </si>
  <si>
    <t xml:space="preserve">cod</t>
  </si>
  <si>
    <t xml:space="preserve">Første driftsår (COD)</t>
  </si>
  <si>
    <t xml:space="preserve">år</t>
  </si>
  <si>
    <t xml:space="preserve">Antaget: udvikling, netaftale, indkøb og byggeri ca. 15-24 mdr. fra beslutning.</t>
  </si>
  <si>
    <t xml:space="preserve">life</t>
  </si>
  <si>
    <t xml:space="preserve">Økonomisk levetid</t>
  </si>
  <si>
    <t xml:space="preserve">Ingen restværdi og ingen udvidelse (augmentation) antaget. Maks. 20 år i modellen.</t>
  </si>
  <si>
    <t xml:space="preserve">avail</t>
  </si>
  <si>
    <t xml:space="preserve">Tilgængelighed inkl. konflikt med RFV's elkedel og gasmotorer</t>
  </si>
  <si>
    <t xml:space="preserve">%</t>
  </si>
  <si>
    <t xml:space="preserve">Batteriet deler tilslutning med elkedel (import) og gasmotorer (eksport), der bruger kapaciteten i de samme timer. Skal afklares med RFV-data.</t>
  </si>
  <si>
    <t xml:space="preserve">fade</t>
  </si>
  <si>
    <t xml:space="preserve">Kapacitetstab pr. år (påvirker arbitrage)</t>
  </si>
  <si>
    <t xml:space="preserve">%/år</t>
  </si>
  <si>
    <t xml:space="preserve">Typisk for LFP ved ca. 1 cyklus/døgn.</t>
  </si>
  <si>
    <t xml:space="preserve">rte</t>
  </si>
  <si>
    <t xml:space="preserve">Round-trip-virkningsgrad (AC-AC)</t>
  </si>
  <si>
    <t xml:space="preserve">Samme værdi som i backtesten.</t>
  </si>
  <si>
    <t xml:space="preserve">Anlægsomkostninger</t>
  </si>
  <si>
    <t xml:space="preserve">ckw</t>
  </si>
  <si>
    <t xml:space="preserve">Effektrelateret capex (PCS, trafo, HV/MV, BoP, EPC)</t>
  </si>
  <si>
    <t xml:space="preserve">EUR/kW</t>
  </si>
  <si>
    <t xml:space="preserve">Kalibreret så 2h all-in ligger på 375/300/250 EUR/kWh. Ref.: Modo Energy (16.03.2026) 700k EUR/MW for 2h i Tyskland (scope ikke oplyst); BNEF Cost Survey 2025 Europa turnkey 177 USD/kWh ekskl. EPC og nettilslutning (via Energy-Storage.news, dec. 2025).</t>
  </si>
  <si>
    <t xml:space="preserve">ckwh</t>
  </si>
  <si>
    <t xml:space="preserve">Energirelateret capex (batteriblokke inkl. montage)</t>
  </si>
  <si>
    <t xml:space="preserve">EUR/kWh</t>
  </si>
  <si>
    <t xml:space="preserve">Se ovenfor. Skal erstattes af tilbud.</t>
  </si>
  <si>
    <t xml:space="preserve">dev</t>
  </si>
  <si>
    <t xml:space="preserve">Udvikling, rådgivning, netstudier, finansiering</t>
  </si>
  <si>
    <t xml:space="preserve">EUR</t>
  </si>
  <si>
    <t xml:space="preserve">Juridisk, skat (bindende svar), netselskab, teknisk DD.</t>
  </si>
  <si>
    <t xml:space="preserve">conn</t>
  </si>
  <si>
    <t xml:space="preserve">Tilslutningsbidrag / ombygning af tilslutning</t>
  </si>
  <si>
    <t xml:space="preserve">Skal verificeres</t>
  </si>
  <si>
    <t xml:space="preserve">Elnet.dk/Green Power Denmark: intet tilslutningsbidrag, hvis batteriet bruger eksisterende kapacitet uden at der søges ny. Pessimistisk: netselskabet kræver ombygning eller udvidelse.</t>
  </si>
  <si>
    <t xml:space="preserve">Indtægter (2026-priser)</t>
  </si>
  <si>
    <t xml:space="preserve">lvl</t>
  </si>
  <si>
    <t xml:space="preserve">Arbitrage-niveau ift. backtest seneste 12 mdr.</t>
  </si>
  <si>
    <t xml:space="preserve">faktor</t>
  </si>
  <si>
    <t xml:space="preserve">Data</t>
  </si>
  <si>
    <t xml:space="preserve">Pess. = kalenderår 2025, Base = okt. 2025 til okt. 2026, Opt. = 2026 år-til-dato (annualiseret). 2h-backtest, se arket Backtest.</t>
  </si>
  <si>
    <t xml:space="preserve">cap</t>
  </si>
  <si>
    <t xml:space="preserve">Realiseringsgrad ift. perfekt forudsigelse (day-ahead)</t>
  </si>
  <si>
    <t xml:space="preserve">Backtesten antager perfekt kendskab til priserne.</t>
  </si>
  <si>
    <t xml:space="preserve">idu</t>
  </si>
  <si>
    <t xml:space="preserve">Tillæg fra intraday/ubalance</t>
  </si>
  <si>
    <t xml:space="preserve">Ikke backtestet. Kan være væsentligt i DK1, men usikkert.</t>
  </si>
  <si>
    <t xml:space="preserve">arbtr</t>
  </si>
  <si>
    <t xml:space="preserve">Real udvikling i arbitrage-indtjening</t>
  </si>
  <si>
    <t xml:space="preserve">Flere batterier presser spreads; mere sol og vind øger dem. Spreads i 2026 er høje sammen med et højt prisniveau.</t>
  </si>
  <si>
    <t xml:space="preserve">anc1</t>
  </si>
  <si>
    <t xml:space="preserve">Systemydelser (aFRR + mFRR), netto merindtægt år 1</t>
  </si>
  <si>
    <t xml:space="preserve">EUR/MW/år</t>
  </si>
  <si>
    <t xml:space="preserve">Data + estimat</t>
  </si>
  <si>
    <t xml:space="preserve">Backtest (2h, seneste 12 mdr.): merindtægt ift. ren arbitrage = 156k ved fulde priser, 70k ved 50 % og 30k ved 25 %. Priserne i Q3 2026 ligger på ca. 50 % af 12-mdr.-gennemsnittet. Base antager yderligere halvering frem til 2028.</t>
  </si>
  <si>
    <t xml:space="preserve">anctr</t>
  </si>
  <si>
    <t xml:space="preserve">Udvikling i systemydelser</t>
  </si>
  <si>
    <t xml:space="preserve">aFRR op i DK1 er faldet fra ca. 70 til ca. 6-10 EUR/MW/h (Q4 2024 til 2026).</t>
  </si>
  <si>
    <t xml:space="preserve">ancfl</t>
  </si>
  <si>
    <t xml:space="preserve">Gulv for systemydelser</t>
  </si>
  <si>
    <t xml:space="preserve">Nettariffer og afgifter (betales af batteriet)</t>
  </si>
  <si>
    <t xml:space="preserve">t_en</t>
  </si>
  <si>
    <t xml:space="preserve">Energinet forbrugstarif (net + system)</t>
  </si>
  <si>
    <t xml:space="preserve">øre/kWh</t>
  </si>
  <si>
    <t xml:space="preserve">Energinet-pressemeddelelse 04.09.2026: 10,5 øre/kWh i 2027 og loft på 12,5 øre/kWh frem til 2030.</t>
  </si>
  <si>
    <t xml:space="preserve">t_dso</t>
  </si>
  <si>
    <t xml:space="preserve">Netselskabets forbrugstarif (gns. i ladetimer)</t>
  </si>
  <si>
    <t xml:space="preserve">Netselskab og tarif for RFV's tilslutning er ikke kendt. Elnet.dk: batterier betaler både forbrugs- og indfødningstarif.</t>
  </si>
  <si>
    <t xml:space="preserve">t_afg</t>
  </si>
  <si>
    <t xml:space="preserve">Elafgift på opladning efter godtgørelse</t>
  </si>
  <si>
    <t xml:space="preserve">KRITISK. Lov nr. 1775 af 29.12.2025: 0,8 øre/kWh i 2026-27, derefter 60,9 øre (2015-niveau). Antaget: momsreg. virksomhed får godtgørelse ned til 0,4 øre. Gælder det ikke for et batteri fra 2028, falder business casen. Kræver bindende svar.</t>
  </si>
  <si>
    <t xml:space="preserve">t_enp</t>
  </si>
  <si>
    <t xml:space="preserve">Energinet indfødnings- og balancetarif</t>
  </si>
  <si>
    <t xml:space="preserve">Energinet-pressemeddelelse 04.09.2026: 0,5 + 0,42 øre/kWh (2027).</t>
  </si>
  <si>
    <t xml:space="preserve">t_dsop</t>
  </si>
  <si>
    <t xml:space="preserve">Netselskabets indfødningstarif</t>
  </si>
  <si>
    <t xml:space="preserve">Estimat.</t>
  </si>
  <si>
    <t xml:space="preserve">fx</t>
  </si>
  <si>
    <t xml:space="preserve">Valutakurs</t>
  </si>
  <si>
    <t xml:space="preserve">DKK/EUR</t>
  </si>
  <si>
    <t xml:space="preserve">Fast kurs (ERM2).</t>
  </si>
  <si>
    <t xml:space="preserve">Driftsomkostninger (2026-priser)</t>
  </si>
  <si>
    <t xml:space="preserve">om</t>
  </si>
  <si>
    <t xml:space="preserve">Drift og vedligehold (LTSA)</t>
  </si>
  <si>
    <t xml:space="preserve">% af anlægscapex</t>
  </si>
  <si>
    <t xml:space="preserve">ins</t>
  </si>
  <si>
    <t xml:space="preserve">Forsikring</t>
  </si>
  <si>
    <t xml:space="preserve">fee</t>
  </si>
  <si>
    <t xml:space="preserve">Optimerings-/aggregatorfee</t>
  </si>
  <si>
    <t xml:space="preserve">% af markedsindtægt</t>
  </si>
  <si>
    <t xml:space="preserve">Alternativ: fast fee pr. MW eller gevinstdeling.</t>
  </si>
  <si>
    <t xml:space="preserve">rfv</t>
  </si>
  <si>
    <t xml:space="preserve">Betaling til RFV for netadgang og areal</t>
  </si>
  <si>
    <t xml:space="preserve">Til forhandling. Kan også erstattes af ejerandel til RFV.</t>
  </si>
  <si>
    <t xml:space="preserve">fix</t>
  </si>
  <si>
    <t xml:space="preserve">Faste omkostninger (adm., revision, BRP, SCADA, abonnementer)</t>
  </si>
  <si>
    <t xml:space="preserve">EUR/år</t>
  </si>
  <si>
    <t xml:space="preserve">Økonomi og skat</t>
  </si>
  <si>
    <t xml:space="preserve">infl</t>
  </si>
  <si>
    <t xml:space="preserve">Inflation (indeksering fra 2026-niveau)</t>
  </si>
  <si>
    <t xml:space="preserve">tax</t>
  </si>
  <si>
    <t xml:space="preserve">Selskabsskat</t>
  </si>
  <si>
    <t xml:space="preserve">Dansk selskabsskat.</t>
  </si>
  <si>
    <t xml:space="preserve">saldo</t>
  </si>
  <si>
    <t xml:space="preserve">Skattemæssig afskrivning (saldo)</t>
  </si>
  <si>
    <t xml:space="preserve">Antaget almindelige driftsmidler (afskrivningsloven). Underskud fremføres; 60 %-begrænsningen er ikke modelleret.</t>
  </si>
  <si>
    <t xml:space="preserve">disc</t>
  </si>
  <si>
    <t xml:space="preserve">Diskonteringsrente til NPV (nominel)</t>
  </si>
  <si>
    <t xml:space="preserve">Indikativt afkastkrav for merchant-BESS.</t>
  </si>
  <si>
    <t xml:space="preserve">Backtest af batteri i DK1 på Energinet-data (perfekt forudsigelse)</t>
  </si>
  <si>
    <t xml:space="preserve">Beregnet 13.10.2026 med scripts/backtest_dk1.py på data fra Energinets Energi Data Service (Elspotprices, DayAheadPrices, AfrrReservesNordic, FcrDK1, mFRRCapacityMarket).</t>
  </si>
  <si>
    <t xml:space="preserve">Metode: lineær optimering pr. døgn for 1 MW. Round-trip 86 %, maks. 1,5 cyklus/døgn, SoC 50 % ved døgnstart og -slut. Reserver kræver energi til 60 min (aFRR/mFRR) og 30 min (FCR).</t>
  </si>
  <si>
    <t xml:space="preserve">Netomkostning i optimeringen: 18,6 EUR/MWh på opladning og 1,9 EUR/MWh på afladning (svarer til base-tarifferne). Kvartersopløsning fra 1.10.2025, timeopløsning før.</t>
  </si>
  <si>
    <t xml:space="preserve">Perfekt forudsigelse overvurderer indtjeningen; det korrigeres med realiseringsgraden i Forudsætninger. Ubegrænset reservevolumen er urealistisk i DK1 (lille marked), se mætningsvarianter.</t>
  </si>
  <si>
    <t xml:space="preserve">A. Indtjening pr. MW pr. år, 2h-batteri (EUR, annualiseret)</t>
  </si>
  <si>
    <t xml:space="preserve">Periode</t>
  </si>
  <si>
    <t xml:space="preserve">Strategi</t>
  </si>
  <si>
    <t xml:space="preserve">Arbitrage brutto</t>
  </si>
  <si>
    <t xml:space="preserve">Netomkostning</t>
  </si>
  <si>
    <t xml:space="preserve">aFRR</t>
  </si>
  <si>
    <t xml:space="preserve">FCR</t>
  </si>
  <si>
    <t xml:space="preserve">mFRR</t>
  </si>
  <si>
    <t xml:space="preserve">Netto</t>
  </si>
  <si>
    <t xml:space="preserve">MWh afladet</t>
  </si>
  <si>
    <t xml:space="preserve">Dage</t>
  </si>
  <si>
    <t xml:space="preserve">Kalenderår 2024</t>
  </si>
  <si>
    <t xml:space="preserve">Kun day-ahead-arbitrage</t>
  </si>
  <si>
    <t xml:space="preserve">Day-ahead + alle reserver (ubegrænset volumen)</t>
  </si>
  <si>
    <t xml:space="preserve">Kalenderår 2025</t>
  </si>
  <si>
    <t xml:space="preserve">13.10.2025 til 12.10.2026</t>
  </si>
  <si>
    <t xml:space="preserve">2026 år-til-dato</t>
  </si>
  <si>
    <t xml:space="preserve">B. Varighed, kun day-ahead, seneste 12 mdr. (bruges af modellen)</t>
  </si>
  <si>
    <t xml:space="preserve">Kilde</t>
  </si>
  <si>
    <t xml:space="preserve">Arbitrage brutto EUR/MW/år</t>
  </si>
  <si>
    <t xml:space="preserve">MWh afladet pr. MW/år</t>
  </si>
  <si>
    <t xml:space="preserve">Netto EUR/MW/år</t>
  </si>
  <si>
    <t xml:space="preserve">backtest_varianter.py</t>
  </si>
  <si>
    <t xml:space="preserve">backtest_dk1.py</t>
  </si>
  <si>
    <t xml:space="preserve">C. Mætning af systemydelser: 2h, seneste 12 mdr., aFRR + mFRR (uden FCR), reservepriser skaleret</t>
  </si>
  <si>
    <t xml:space="preserve">Reservepris-faktor</t>
  </si>
  <si>
    <t xml:space="preserve">Merindtægt ift. ren arbitrage</t>
  </si>
  <si>
    <t xml:space="preserve">D. DK1 pr. kvartal: prisspænd og reservepriser (gennemsnit). Q4 2026 er kun 1.-13. oktober.</t>
  </si>
  <si>
    <t xml:space="preserve">Kvartal</t>
  </si>
  <si>
    <t xml:space="preserve">Dagligt spænd top-2h minus bund-2h (EUR/MWh)</t>
  </si>
  <si>
    <t xml:space="preserve">Gns. spotpris (EUR/MWh)</t>
  </si>
  <si>
    <t xml:space="preserve">aFRR op (EUR/MW/h)</t>
  </si>
  <si>
    <t xml:space="preserve">aFRR ned (EUR/MW/h)</t>
  </si>
  <si>
    <t xml:space="preserve">FCR DK1 (EUR/MW/h)</t>
  </si>
  <si>
    <t xml:space="preserve">mFRR op (EUR/MW/h)</t>
  </si>
  <si>
    <t xml:space="preserve">aFRR op behov (MW)</t>
  </si>
  <si>
    <t xml:space="preserve">aFRR ned behov (MW)</t>
  </si>
  <si>
    <t xml:space="preserve">FCR fra danske enheder (MW)</t>
  </si>
  <si>
    <t xml:space="preserve">mFRR op behov (MW)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</si>
  <si>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</si>
  <si>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</si>
  <si>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</si>
  <si>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</si>
  <si>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</si>
  <si>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</si>
  <si>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</si>
  <si>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</si>
  <si>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</si>
  <si>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</si>
  <si>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</si>
  <si>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</si>
  <si>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</si>
  <si>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</si>
  <si>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</si>
  <si>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</si>
  <si>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Cash flow: Pessimistisk scenarie (EUR, nominelt)</t>
  </si>
  <si>
    <t xml:space="preserve">Scenarie-indeks (1 = pess., 2 = base, 3 = opt.)</t>
  </si>
  <si>
    <t xml:space="preserve">Forudsætninger for scenariet (hentes fra arket Forudsætninger)</t>
  </si>
  <si>
    <t xml:space="preserve">Batteriets effekt [MW]</t>
  </si>
  <si>
    <t xml:space="preserve">Varighed (1, 2 eller 4 timer) [timer]</t>
  </si>
  <si>
    <t xml:space="preserve">Første driftsår (COD) [år]</t>
  </si>
  <si>
    <t xml:space="preserve">Økonomisk levetid [år]</t>
  </si>
  <si>
    <t xml:space="preserve">Tilgængelighed inkl. konflikt med RFV's elkedel og gasmotorer [%]</t>
  </si>
  <si>
    <t xml:space="preserve">Kapacitetstab pr. år (påvirker arbitrage) [%/år]</t>
  </si>
  <si>
    <t xml:space="preserve">Round-trip-virkningsgrad (AC-AC) [%]</t>
  </si>
  <si>
    <t xml:space="preserve">Effektrelateret capex (PCS, trafo, HV/MV, BoP, EPC) [EUR/kW]</t>
  </si>
  <si>
    <t xml:space="preserve">Energirelateret capex (batteriblokke inkl. montage) [EUR/kWh]</t>
  </si>
  <si>
    <t xml:space="preserve">Udvikling, rådgivning, netstudier, finansiering [EUR]</t>
  </si>
  <si>
    <t xml:space="preserve">Tilslutningsbidrag / ombygning af tilslutning [EUR]</t>
  </si>
  <si>
    <t xml:space="preserve">Arbitrage-niveau ift. backtest seneste 12 mdr. [faktor]</t>
  </si>
  <si>
    <t xml:space="preserve">Realiseringsgrad ift. perfekt forudsigelse (day-ahead) [%]</t>
  </si>
  <si>
    <t xml:space="preserve">Tillæg fra intraday/ubalance [%]</t>
  </si>
  <si>
    <t xml:space="preserve">Real udvikling i arbitrage-indtjening [%/år]</t>
  </si>
  <si>
    <t xml:space="preserve">Systemydelser (aFRR + mFRR), netto merindtægt år 1 [EUR/MW/år]</t>
  </si>
  <si>
    <t xml:space="preserve">Udvikling i systemydelser [%/år]</t>
  </si>
  <si>
    <t xml:space="preserve">Gulv for systemydelser [EUR/MW/år]</t>
  </si>
  <si>
    <t xml:space="preserve">Energinet forbrugstarif (net + system) [øre/kWh]</t>
  </si>
  <si>
    <t xml:space="preserve">Netselskabets forbrugstarif (gns. i ladetimer) [øre/kWh]</t>
  </si>
  <si>
    <t xml:space="preserve">Elafgift på opladning efter godtgørelse [øre/kWh]</t>
  </si>
  <si>
    <t xml:space="preserve">Energinet indfødnings- og balancetarif [øre/kWh]</t>
  </si>
  <si>
    <t xml:space="preserve">Netselskabets indfødningstarif [øre/kWh]</t>
  </si>
  <si>
    <t xml:space="preserve">Valutakurs [DKK/EUR]</t>
  </si>
  <si>
    <t xml:space="preserve">Drift og vedligehold (LTSA) [% af anlægscapex]</t>
  </si>
  <si>
    <t xml:space="preserve">Forsikring [% af anlægscapex]</t>
  </si>
  <si>
    <t xml:space="preserve">Optimerings-/aggregatorfee [% af markedsindtægt]</t>
  </si>
  <si>
    <t xml:space="preserve">Betaling til RFV for netadgang og areal [EUR/MW/år]</t>
  </si>
  <si>
    <t xml:space="preserve">Faste omkostninger (adm., revision, BRP, SCADA, abonnementer) [EUR/år]</t>
  </si>
  <si>
    <t xml:space="preserve">Inflation (indeksering fra 2026-niveau) [%/år]</t>
  </si>
  <si>
    <t xml:space="preserve">Selskabsskat [%]</t>
  </si>
  <si>
    <t xml:space="preserve">Skattemæssig afskrivning (saldo) [%/år]</t>
  </si>
  <si>
    <t xml:space="preserve">Diskonteringsrente til NPV (nominel) [%]</t>
  </si>
  <si>
    <t xml:space="preserve">Afledte størrelser</t>
  </si>
  <si>
    <t xml:space="preserve">Energi (MWh)</t>
  </si>
  <si>
    <t xml:space="preserve">Anlægscapex (effekt + energi)</t>
  </si>
  <si>
    <t xml:space="preserve">Samlet investering</t>
  </si>
  <si>
    <t xml:space="preserve">Samlet investering pr. kWh</t>
  </si>
  <si>
    <t xml:space="preserve">Samlet investering pr. MW</t>
  </si>
  <si>
    <t xml:space="preserve">Arbitrage brutto, backtest (EUR/MW/år)</t>
  </si>
  <si>
    <t xml:space="preserve">MWh afladet, backtest (pr. MW/år)</t>
  </si>
  <si>
    <t xml:space="preserve">Omkostning pr. MWh opladet (EUR, 2026-niveau)</t>
  </si>
  <si>
    <t xml:space="preserve">Omkostning pr. MWh afladet (EUR, 2026-niveau)</t>
  </si>
  <si>
    <t xml:space="preserve">Cash flow</t>
  </si>
  <si>
    <t xml:space="preserve">År</t>
  </si>
  <si>
    <t xml:space="preserve">Kalenderår</t>
  </si>
  <si>
    <t xml:space="preserve">Drift (1/0)</t>
  </si>
  <si>
    <t xml:space="preserve">Prisindeks (2026 = 1)</t>
  </si>
  <si>
    <t xml:space="preserve">Kapacitetsfaktor</t>
  </si>
  <si>
    <t xml:space="preserve">Arbitrage (day-ahead + intraday)</t>
  </si>
  <si>
    <t xml:space="preserve">Systemydelser, netto merindtægt</t>
  </si>
  <si>
    <t xml:space="preserve">Markedsindtægt i alt</t>
  </si>
  <si>
    <t xml:space="preserve">Nettariffer og elafgift</t>
  </si>
  <si>
    <t xml:space="preserve">Drift, vedligehold og forsikring</t>
  </si>
  <si>
    <t xml:space="preserve">Optimeringsfee</t>
  </si>
  <si>
    <t xml:space="preserve">Betaling til RFV (netadgang og areal)</t>
  </si>
  <si>
    <t xml:space="preserve">Faste omkostninger</t>
  </si>
  <si>
    <t xml:space="preserve">EBITDA</t>
  </si>
  <si>
    <t xml:space="preserve">Investering</t>
  </si>
  <si>
    <t xml:space="preserve">Cash flow før skat</t>
  </si>
  <si>
    <t xml:space="preserve">Skat</t>
  </si>
  <si>
    <t xml:space="preserve">Saldo primo</t>
  </si>
  <si>
    <t xml:space="preserve">Skattemæssig afskrivning</t>
  </si>
  <si>
    <t xml:space="preserve">Saldo ultimo</t>
  </si>
  <si>
    <t xml:space="preserve">Skattepligtig indkomst før underskud</t>
  </si>
  <si>
    <t xml:space="preserve">Fremført underskud primo</t>
  </si>
  <si>
    <t xml:space="preserve">Anvendt underskud</t>
  </si>
  <si>
    <t xml:space="preserve">Fremført underskud ultimo</t>
  </si>
  <si>
    <t xml:space="preserve">Cash flow efter skat</t>
  </si>
  <si>
    <t xml:space="preserve">Akkumuleret cash flow efter skat</t>
  </si>
  <si>
    <t xml:space="preserve">Tilbagebetalt i år (hjælpelinje)</t>
  </si>
  <si>
    <t xml:space="preserve">IRR før skat (projekt, ugearet)</t>
  </si>
  <si>
    <t xml:space="preserve">IRR efter skat (projekt, ugearet)</t>
  </si>
  <si>
    <t xml:space="preserve">NPV efter skat</t>
  </si>
  <si>
    <t xml:space="preserve">Investering pr. kWh</t>
  </si>
  <si>
    <t xml:space="preserve">Investering pr. MW</t>
  </si>
  <si>
    <t xml:space="preserve">Markedsindtægt år 1 pr. MW</t>
  </si>
  <si>
    <t xml:space="preserve">EBITDA år 1</t>
  </si>
  <si>
    <t xml:space="preserve">EBITDA-margin år 1</t>
  </si>
  <si>
    <t xml:space="preserve">Cash flow: Base scenarie (EUR, nominelt)</t>
  </si>
  <si>
    <t xml:space="preserve">Cash flow: Optimistisk scenarie (EUR, nominelt)</t>
  </si>
  <si>
    <t xml:space="preserve">Følsomhed: IRR før skat i base-scenariet ved ændret investering og markedsindtægt</t>
  </si>
  <si>
    <t xml:space="preserve">Markedsindtægt skaleres (arbitrage + systemydelser); nettariffer følger volumen og skaleres ikke. Drift og forsikring følger investeringen. Ændr faktorerne i de gule celler.</t>
  </si>
  <si>
    <t xml:space="preserve">Markedsindtægt (faktor) ned / investering (faktor) hen</t>
  </si>
  <si>
    <t xml:space="preserve">Hjælpeberegning (cash flow før skat pr. kombination)</t>
  </si>
  <si>
    <t xml:space="preserve">Dato</t>
  </si>
  <si>
    <t xml:space="preserve">Bruges til</t>
  </si>
  <si>
    <t xml:space="preserve">Link</t>
  </si>
  <si>
    <t xml:space="preserve">Energinet, Energi Data Service: Elspotprices, DayAheadPrices, AfrrReservesNordic, FcrDK1, mFRRCapacityMarket (DK1)</t>
  </si>
  <si>
    <t xml:space="preserve">hentet 13.10.2026</t>
  </si>
  <si>
    <t xml:space="preserve">Backtest af indtjening og prisudvikling</t>
  </si>
  <si>
    <t xml:space="preserve">https://www.energidataservice.dk</t>
  </si>
  <si>
    <t xml:space="preserve">Energinet: Energinet sænker elforbrugernes tariffer yderligere (Via Ritzau)</t>
  </si>
  <si>
    <t xml:space="preserve">04.09.2026</t>
  </si>
  <si>
    <t xml:space="preserve">Energinets forbrugs-, indfødnings- og balancetarif 2027 og tarifloft</t>
  </si>
  <si>
    <t xml:space="preserve">https://via.ritzau.dk/pressemeddelelse/15138077/energinet-saenker-elforbrugernes-tariffer-yderligere</t>
  </si>
  <si>
    <t xml:space="preserve">Elnet.dk (Green Power Denmark): Tarifering af batterier og ellager</t>
  </si>
  <si>
    <t xml:space="preserve">ikke dateret</t>
  </si>
  <si>
    <t xml:space="preserve">Batterier betaler forbrugs- og indfødningstarif; intet tilslutningsbidrag ved brug af eksisterende kapacitet</t>
  </si>
  <si>
    <t xml:space="preserve">https://elnet.dk/nettariffer-priser-gebyrer/tarifering-batterier-ellager</t>
  </si>
  <si>
    <t xml:space="preserve">Lov nr. 1775 af 29.12.2025 om nedsættelse af elafgiften i 2026 og 2027</t>
  </si>
  <si>
    <t xml:space="preserve">29.12.2025</t>
  </si>
  <si>
    <t xml:space="preserve">Elafgift 0,8 øre/kWh 2026-27, 60,9 øre fra 2028</t>
  </si>
  <si>
    <t xml:space="preserve">https://www.retsinformation.dk/eli/lta/2025/1775/pdf</t>
  </si>
  <si>
    <t xml:space="preserve">Skattestyrelsen: Midlertidig nedsættelse af elafgiften i 2026 og 2027</t>
  </si>
  <si>
    <t xml:space="preserve">2025</t>
  </si>
  <si>
    <t xml:space="preserve">Godtgørelse ned til 0,4 øre/kWh for momsreg. virksomheder</t>
  </si>
  <si>
    <t xml:space="preserve">https://skat.dk/erhverv/afgifter-paa-varer-og-ydelser-punktafgifter/nyhedsbrev-afgifter/midlertidig-nedsaettelse-af-elafgiften-i-2026-og-2027</t>
  </si>
  <si>
    <t xml:space="preserve">Modo Energy: German BESS investment outlook Q2 2026, executive summary</t>
  </si>
  <si>
    <t xml:space="preserve">16.03.2026</t>
  </si>
  <si>
    <t xml:space="preserve">Capex-reference 2h/4h og IRR-reference (Tyskland, ikke DK1)</t>
  </si>
  <si>
    <t xml:space="preserve">https://modoenergy.com/research/en/germany-battery-investment-outlook-q2-2026-executive-summary</t>
  </si>
  <si>
    <t xml:space="preserve">Energy-Storage.news om BNEF Energy Storage Systems Cost Survey 2025</t>
  </si>
  <si>
    <t xml:space="preserve">dec. 2025</t>
  </si>
  <si>
    <t xml:space="preserve">Turnkey-pris Europa 177 USD/kWh ekskl. EPC og nettilslutning</t>
  </si>
  <si>
    <t xml:space="preserve">https://www.energy-storage.news/?p=92133</t>
  </si>
  <si>
    <t xml:space="preserve">Dansk Fjernvarme: Ringkøbing vinker farvel til gas</t>
  </si>
  <si>
    <t xml:space="preserve">30.07.2025</t>
  </si>
  <si>
    <t xml:space="preserve">RFV's anlæg: elkedel og gasmotorer på elmarkedet, 500 MWh akkutanke, fase 1 og 2</t>
  </si>
  <si>
    <t xml:space="preserve">https://danskfjernvarme.dk/aktuelt/nyheder/2025/ringkoebing-vinker-farvel-til-gas</t>
  </si>
  <si>
    <t xml:space="preserve">Radius Elnet: Tilslutning af batterier</t>
  </si>
  <si>
    <t xml:space="preserve">Proces og krav ved batteritilslutning (Radius' område, kun som indikation)</t>
  </si>
  <si>
    <t xml:space="preserve">https://radiuselnet.dk/ny-tilslutning/tilslutning/tilslutning-af-batterier/</t>
  </si>
  <si>
    <t xml:space="preserve">Energistyrelsen: Energifællesskab Rødkærsbro Fjernvarmeværk og Nordic Energy Storage</t>
  </si>
  <si>
    <t xml:space="preserve">12.02.2025</t>
  </si>
  <si>
    <t xml:space="preserve">Præcedens: batteri på fjernvarmeværk</t>
  </si>
  <si>
    <t xml:space="preserve">https://ens.dk/media/7751/download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</si>
</sst>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;[RED]\-#,##0"/>
    <numFmt numFmtId="167" formatCode="0.0%;[RED]\-0.0%"/>
    <numFmt numFmtId="168" formatCode="0.00"/>
    <numFmt numFmtId="169" formatCode="#,##0"/>
    <numFmt numFmtId="170" formatCode="0.0"/>
    <numFmt numFmtId="171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1"/>
      <color rgb="FF1F4E9E"/>
      <name val="Cambria"/>
      <family val="0"/>
      <charset val="1"/>
    </font>
    <font>
      <b val="true"/>
      <sz val="11"/>
      <color rgb="FFB0002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3E8"/>
        <bgColor rgb="FFFFF6D5"/>
      </patternFill>
    </fill>
    <fill>
      <patternFill patternType="solid">
        <fgColor rgb="FFD9E2EF"/>
        <bgColor rgb="FFE8F3E8"/>
      </patternFill>
    </fill>
    <fill>
      <patternFill patternType="solid">
        <fgColor rgb="FFFFF6D5"/>
        <bgColor rgb="FFE8F3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D5"/>
      <rgbColor rgb="FFE8F3E8"/>
      <rgbColor rgb="FF660066"/>
      <rgbColor rgb="FFFF8080"/>
      <rgbColor rgb="FF0066CC"/>
      <rgbColor rgb="FFD9E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Pessimistisk!$B$5</f>
        <v>10</v>
      </c>
      <c r="C5" s="5" t="n">
        <f aca="false">Base!$B$5</f>
        <v>10</v>
      </c>
      <c r="D5" s="5" t="n">
        <f aca="false">Optimistisk!$B$5</f>
        <v>10</v>
      </c>
    </row>
    <row r="6" customFormat="false" ht="15" hidden="false" customHeight="false" outlineLevel="0" collapsed="false">
      <c r="A6" s="4" t="s">
        <v>7</v>
      </c>
      <c r="B6" s="5" t="n">
        <f aca="false">Pessimistisk!$B$6</f>
        <v>2</v>
      </c>
      <c r="C6" s="5" t="n">
        <f aca="false">Base!$B$6</f>
        <v>2</v>
      </c>
      <c r="D6" s="5" t="n">
        <f aca="false">Optimistisk!$B$6</f>
        <v>2</v>
      </c>
    </row>
    <row r="7" customFormat="false" ht="15" hidden="false" customHeight="false" outlineLevel="0" collapsed="false">
      <c r="A7" s="4" t="s">
        <v>8</v>
      </c>
      <c r="B7" s="6" t="n">
        <f aca="false">Pessimistisk!$B$86</f>
        <v>8200000</v>
      </c>
      <c r="C7" s="6" t="n">
        <f aca="false">Base!$B$86</f>
        <v>6250000</v>
      </c>
      <c r="D7" s="6" t="n">
        <f aca="false">Optimistisk!$B$86</f>
        <v>5150000</v>
      </c>
    </row>
    <row r="8" customFormat="false" ht="15" hidden="false" customHeight="false" outlineLevel="0" collapsed="false">
      <c r="A8" s="4" t="s">
        <v>9</v>
      </c>
      <c r="B8" s="6" t="n">
        <f aca="false">Pessimistisk!$B$87</f>
        <v>410</v>
      </c>
      <c r="C8" s="6" t="n">
        <f aca="false">Base!$B$87</f>
        <v>312.5</v>
      </c>
      <c r="D8" s="6" t="n">
        <f aca="false">Optimistisk!$B$87</f>
        <v>257.5</v>
      </c>
    </row>
    <row r="9" customFormat="false" ht="15" hidden="false" customHeight="false" outlineLevel="0" collapsed="false">
      <c r="A9" s="4" t="s">
        <v>10</v>
      </c>
      <c r="B9" s="6" t="n">
        <f aca="false">Pessimistisk!$B$88</f>
        <v>820000</v>
      </c>
      <c r="C9" s="6" t="n">
        <f aca="false">Base!$B$88</f>
        <v>625000</v>
      </c>
      <c r="D9" s="6" t="n">
        <f aca="false">Optimistisk!$B$88</f>
        <v>515000</v>
      </c>
    </row>
    <row r="10" customFormat="false" ht="15" hidden="false" customHeight="false" outlineLevel="0" collapsed="false">
      <c r="A10" s="4" t="s">
        <v>11</v>
      </c>
      <c r="B10" s="6" t="n">
        <f aca="false">Pessimistisk!$B$89</f>
        <v>62209.3013806218</v>
      </c>
      <c r="C10" s="6" t="n">
        <f aca="false">Base!$B$89</f>
        <v>102775.344720678</v>
      </c>
      <c r="D10" s="6" t="n">
        <f aca="false">Optimistisk!$B$89</f>
        <v>172202.515619368</v>
      </c>
    </row>
    <row r="11" customFormat="false" ht="15" hidden="false" customHeight="false" outlineLevel="0" collapsed="false">
      <c r="A11" s="4" t="s">
        <v>12</v>
      </c>
      <c r="B11" s="6" t="n">
        <f aca="false">Pessimistisk!$B$90</f>
        <v>-38032.2167218742</v>
      </c>
      <c r="C11" s="6" t="n">
        <f aca="false">Base!$B$90</f>
        <v>526633.086448595</v>
      </c>
      <c r="D11" s="6" t="n">
        <f aca="false">Optimistisk!$B$90</f>
        <v>1288031.99714009</v>
      </c>
    </row>
    <row r="12" customFormat="false" ht="15" hidden="false" customHeight="false" outlineLevel="0" collapsed="false">
      <c r="A12" s="4" t="s">
        <v>13</v>
      </c>
      <c r="B12" s="7" t="n">
        <f aca="false">Pessimistisk!$B$92</f>
        <v>-0.00463807520998466</v>
      </c>
      <c r="C12" s="7" t="n">
        <f aca="false">Base!$B$92</f>
        <v>0.0842612938317751</v>
      </c>
      <c r="D12" s="7" t="n">
        <f aca="false">Optimistisk!$B$92</f>
        <v>0.250103300415552</v>
      </c>
    </row>
    <row r="13" customFormat="false" ht="15" hidden="false" customHeight="false" outlineLevel="0" collapsed="false">
      <c r="A13" s="4" t="s">
        <v>14</v>
      </c>
      <c r="B13" s="8" t="str">
        <f aca="false">Pessimistisk!$B$82</f>
        <v>negativ</v>
      </c>
      <c r="C13" s="8" t="n">
        <f aca="false">Base!$B$82</f>
        <v>-0.00651111847611164</v>
      </c>
      <c r="D13" s="8" t="n">
        <f aca="false">Optimistisk!$B$82</f>
        <v>0.234181773000325</v>
      </c>
    </row>
    <row r="14" customFormat="false" ht="15" hidden="false" customHeight="false" outlineLevel="0" collapsed="false">
      <c r="A14" s="4" t="s">
        <v>15</v>
      </c>
      <c r="B14" s="8" t="str">
        <f aca="false">Pessimistisk!$B$83</f>
        <v>negativ</v>
      </c>
      <c r="C14" s="8" t="n">
        <f aca="false">Base!$B$83</f>
        <v>-0.00651111847611164</v>
      </c>
      <c r="D14" s="8" t="n">
        <f aca="false">Optimistisk!$B$83</f>
        <v>0.203295985382591</v>
      </c>
    </row>
    <row r="15" customFormat="false" ht="15" hidden="false" customHeight="false" outlineLevel="0" collapsed="false">
      <c r="A15" s="4" t="s">
        <v>16</v>
      </c>
      <c r="B15" s="6" t="n">
        <f aca="false">Pessimistisk!$B$84</f>
        <v>-9919272.76676763</v>
      </c>
      <c r="C15" s="6" t="n">
        <f aca="false">Base!$B$84</f>
        <v>-2629940.74577023</v>
      </c>
      <c r="D15" s="6" t="n">
        <f aca="false">Optimistisk!$B$84</f>
        <v>4038497.43297723</v>
      </c>
    </row>
    <row r="16" customFormat="false" ht="15" hidden="false" customHeight="false" outlineLevel="0" collapsed="false">
      <c r="A16" s="4" t="s">
        <v>17</v>
      </c>
      <c r="B16" s="5" t="str">
        <f aca="false">Pessimistisk!$B$85</f>
        <v>&gt; levetid</v>
      </c>
      <c r="C16" s="5" t="str">
        <f aca="false">Base!$B$85</f>
        <v>&gt; levetid</v>
      </c>
      <c r="D16" s="5" t="n">
        <f aca="false">Optimistisk!$B$85</f>
        <v>5</v>
      </c>
    </row>
    <row r="18" customFormat="false" ht="15" hidden="false" customHeight="false" outlineLevel="0" collapsed="false">
      <c r="A18" s="9" t="s">
        <v>18</v>
      </c>
    </row>
    <row r="19" customFormat="false" ht="15" hidden="false" customHeight="false" outlineLevel="0" collapsed="false">
      <c r="A19" s="2" t="s">
        <v>19</v>
      </c>
    </row>
    <row r="20" customFormat="false" ht="15" hidden="false" customHeight="false" outlineLevel="0" collapsed="false">
      <c r="A20" s="4" t="s">
        <v>20</v>
      </c>
      <c r="B20" s="10" t="s">
        <v>21</v>
      </c>
    </row>
    <row r="21" customFormat="false" ht="15" hidden="false" customHeight="false" outlineLevel="0" collapsed="false">
      <c r="A21" s="4" t="s">
        <v>22</v>
      </c>
      <c r="B21" s="10" t="s">
        <v>23</v>
      </c>
    </row>
    <row r="22" customFormat="false" ht="15" hidden="false" customHeight="false" outlineLevel="0" collapsed="false">
      <c r="A22" s="4" t="s">
        <v>24</v>
      </c>
      <c r="B22" s="10" t="s">
        <v>25</v>
      </c>
    </row>
    <row r="23" customFormat="false" ht="15" hidden="false" customHeight="false" outlineLevel="0" collapsed="false">
      <c r="A23" s="4" t="s">
        <v>26</v>
      </c>
      <c r="B23" s="10" t="s">
        <v>27</v>
      </c>
    </row>
    <row r="24" customFormat="false" ht="15" hidden="false" customHeight="false" outlineLevel="0" collapsed="false">
      <c r="A24" s="4" t="s">
        <v>28</v>
      </c>
      <c r="B24" s="10" t="s">
        <v>27</v>
      </c>
    </row>
    <row r="25" customFormat="false" ht="15" hidden="false" customHeight="false" outlineLevel="0" collapsed="false">
      <c r="A25" s="4" t="s">
        <v>29</v>
      </c>
      <c r="B25" s="10" t="s">
        <v>27</v>
      </c>
    </row>
    <row r="26" customFormat="false" ht="15" hidden="false" customHeight="false" outlineLevel="0" collapsed="false">
      <c r="A26" s="4" t="s">
        <v>30</v>
      </c>
      <c r="B26" s="10" t="s">
        <v>31</v>
      </c>
    </row>
    <row r="27" customFormat="false" ht="15" hidden="false" customHeight="false" outlineLevel="0" collapsed="false">
      <c r="A27" s="4" t="s">
        <v>32</v>
      </c>
      <c r="B27" s="10" t="s">
        <v>33</v>
      </c>
    </row>
    <row r="28" customFormat="false" ht="15" hidden="false" customHeight="false" outlineLevel="0" collapsed="false">
      <c r="A28" s="4" t="s">
        <v>34</v>
      </c>
      <c r="B28" s="10" t="s">
        <v>35</v>
      </c>
    </row>
    <row r="29" customFormat="false" ht="15" hidden="false" customHeight="false" outlineLevel="0" collapsed="false">
      <c r="A29" s="4" t="s">
        <v>36</v>
      </c>
      <c r="B29" s="10" t="s">
        <v>37</v>
      </c>
    </row>
    <row r="31" customFormat="false" ht="15" hidden="false" customHeight="true" outlineLevel="0" collapsed="false">
      <c r="A31" s="11" t="s">
        <v>38</v>
      </c>
      <c r="B31" s="11"/>
      <c r="C31" s="11"/>
      <c r="D31" s="11"/>
      <c r="E31" s="11"/>
    </row>
    <row r="32" customFormat="false" ht="31.5" hidden="false" customHeight="true" outlineLevel="0" collapsed="false">
      <c r="A32" s="12" t="s">
        <v>39</v>
      </c>
      <c r="B32" s="12"/>
      <c r="C32" s="12"/>
      <c r="D32" s="12"/>
      <c r="E32" s="12"/>
    </row>
    <row r="33" customFormat="false" ht="31.5" hidden="false" customHeight="true" outlineLevel="0" collapsed="false">
      <c r="A33" s="12" t="s">
        <v>40</v>
      </c>
      <c r="B33" s="12"/>
      <c r="C33" s="12"/>
      <c r="D33" s="12"/>
      <c r="E33" s="12"/>
    </row>
    <row r="34" customFormat="false" ht="15" hidden="false" customHeight="false" outlineLevel="0" collapsed="false">
      <c r="A34" s="12"/>
      <c r="B34" s="12"/>
      <c r="C34" s="12"/>
      <c r="D34" s="12"/>
      <c r="E34" s="12"/>
    </row>
    <row r="35" customFormat="false" ht="15" hidden="false" customHeight="true" outlineLevel="0" collapsed="false">
      <c r="A35" s="11" t="s">
        <v>41</v>
      </c>
      <c r="B35" s="11"/>
      <c r="C35" s="11"/>
      <c r="D35" s="11"/>
      <c r="E35" s="11"/>
    </row>
    <row r="36" customFormat="false" ht="31.5" hidden="false" customHeight="true" outlineLevel="0" collapsed="false">
      <c r="A36" s="12" t="s">
        <v>42</v>
      </c>
      <c r="B36" s="12"/>
      <c r="C36" s="12"/>
      <c r="D36" s="12"/>
      <c r="E36" s="12"/>
    </row>
    <row r="37" customFormat="false" ht="31.5" hidden="false" customHeight="true" outlineLevel="0" collapsed="false">
      <c r="A37" s="12" t="s">
        <v>43</v>
      </c>
      <c r="B37" s="12"/>
      <c r="C37" s="12"/>
      <c r="D37" s="12"/>
      <c r="E37" s="12"/>
    </row>
    <row r="38" customFormat="false" ht="31.5" hidden="false" customHeight="true" outlineLevel="0" collapsed="false">
      <c r="A38" s="12" t="s">
        <v>44</v>
      </c>
      <c r="B38" s="12"/>
      <c r="C38" s="12"/>
      <c r="D38" s="12"/>
      <c r="E38" s="12"/>
    </row>
    <row r="39" customFormat="false" ht="31.5" hidden="false" customHeight="true" outlineLevel="0" collapsed="false">
      <c r="A39" s="12" t="s">
        <v>45</v>
      </c>
      <c r="B39" s="12"/>
      <c r="C39" s="12"/>
      <c r="D39" s="12"/>
      <c r="E39" s="12"/>
    </row>
    <row r="40" customFormat="false" ht="31.5" hidden="false" customHeight="true" outlineLevel="0" collapsed="false">
      <c r="A40" s="12" t="s">
        <v>46</v>
      </c>
      <c r="B40" s="12"/>
      <c r="C40" s="12"/>
      <c r="D40" s="12"/>
      <c r="E40" s="12"/>
    </row>
    <row r="41" customFormat="false" ht="15" hidden="false" customHeight="false" outlineLevel="0" collapsed="false">
      <c r="A41" s="12"/>
      <c r="B41" s="12"/>
      <c r="C41" s="12"/>
      <c r="D41" s="12"/>
      <c r="E41" s="12"/>
    </row>
    <row r="42" customFormat="false" ht="31.5" hidden="false" customHeight="true" outlineLevel="0" collapsed="false">
      <c r="A42" s="12" t="s">
        <v>47</v>
      </c>
      <c r="B42" s="12"/>
      <c r="C42" s="12"/>
      <c r="D42" s="12"/>
      <c r="E42" s="12"/>
    </row>
  </sheetData>
  <mergeCells count="12"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7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3</v>
      </c>
      <c r="E4" s="3" t="s">
        <v>4</v>
      </c>
      <c r="F4" s="3" t="s">
        <v>5</v>
      </c>
      <c r="G4" s="3" t="s">
        <v>53</v>
      </c>
      <c r="H4" s="3" t="s">
        <v>54</v>
      </c>
    </row>
    <row r="5" customFormat="false" ht="15" hidden="false" customHeight="false" outlineLevel="0" collapsed="false">
      <c r="A5" s="13" t="s">
        <v>55</v>
      </c>
      <c r="B5" s="14"/>
      <c r="C5" s="14"/>
      <c r="D5" s="14"/>
      <c r="E5" s="14"/>
      <c r="F5" s="14"/>
      <c r="G5" s="14"/>
      <c r="H5" s="14"/>
    </row>
    <row r="6" customFormat="false" ht="28.35" hidden="false" customHeight="false" outlineLevel="0" collapsed="false">
      <c r="A6" s="15" t="s">
        <v>56</v>
      </c>
      <c r="B6" s="15" t="s">
        <v>57</v>
      </c>
      <c r="C6" s="15" t="s">
        <v>58</v>
      </c>
      <c r="D6" s="16" t="n">
        <v>10</v>
      </c>
      <c r="E6" s="16" t="n">
        <v>10</v>
      </c>
      <c r="F6" s="16" t="n">
        <v>10</v>
      </c>
      <c r="G6" s="17" t="s">
        <v>59</v>
      </c>
      <c r="H6" s="15" t="s">
        <v>60</v>
      </c>
    </row>
    <row r="7" customFormat="false" ht="28.35" hidden="false" customHeight="false" outlineLevel="0" collapsed="false">
      <c r="A7" s="15" t="s">
        <v>61</v>
      </c>
      <c r="B7" s="15" t="s">
        <v>62</v>
      </c>
      <c r="C7" s="15" t="s">
        <v>63</v>
      </c>
      <c r="D7" s="16" t="n">
        <v>2</v>
      </c>
      <c r="E7" s="16" t="n">
        <v>2</v>
      </c>
      <c r="F7" s="16" t="n">
        <v>2</v>
      </c>
      <c r="G7" s="15" t="s">
        <v>64</v>
      </c>
      <c r="H7" s="15" t="s">
        <v>65</v>
      </c>
    </row>
    <row r="8" customFormat="false" ht="15" hidden="false" customHeight="false" outlineLevel="0" collapsed="false">
      <c r="A8" s="15" t="s">
        <v>66</v>
      </c>
      <c r="B8" s="15" t="s">
        <v>67</v>
      </c>
      <c r="C8" s="15" t="s">
        <v>68</v>
      </c>
      <c r="D8" s="16" t="n">
        <v>2028</v>
      </c>
      <c r="E8" s="16" t="n">
        <v>2028</v>
      </c>
      <c r="F8" s="16" t="n">
        <v>2028</v>
      </c>
      <c r="G8" s="15" t="s">
        <v>64</v>
      </c>
      <c r="H8" s="15" t="s">
        <v>69</v>
      </c>
    </row>
    <row r="9" customFormat="false" ht="15" hidden="false" customHeight="false" outlineLevel="0" collapsed="false">
      <c r="A9" s="15" t="s">
        <v>70</v>
      </c>
      <c r="B9" s="15" t="s">
        <v>71</v>
      </c>
      <c r="C9" s="15" t="s">
        <v>68</v>
      </c>
      <c r="D9" s="16" t="n">
        <v>15</v>
      </c>
      <c r="E9" s="16" t="n">
        <v>15</v>
      </c>
      <c r="F9" s="16" t="n">
        <v>15</v>
      </c>
      <c r="G9" s="15" t="s">
        <v>64</v>
      </c>
      <c r="H9" s="15" t="s">
        <v>72</v>
      </c>
    </row>
    <row r="10" customFormat="false" ht="28.35" hidden="false" customHeight="false" outlineLevel="0" collapsed="false">
      <c r="A10" s="15" t="s">
        <v>73</v>
      </c>
      <c r="B10" s="15" t="s">
        <v>74</v>
      </c>
      <c r="C10" s="15" t="s">
        <v>75</v>
      </c>
      <c r="D10" s="18" t="n">
        <v>0.85</v>
      </c>
      <c r="E10" s="18" t="n">
        <v>0.92</v>
      </c>
      <c r="F10" s="18" t="n">
        <v>0.97</v>
      </c>
      <c r="G10" s="15" t="s">
        <v>64</v>
      </c>
      <c r="H10" s="15" t="s">
        <v>76</v>
      </c>
    </row>
    <row r="11" customFormat="false" ht="15" hidden="false" customHeight="false" outlineLevel="0" collapsed="false">
      <c r="A11" s="15" t="s">
        <v>77</v>
      </c>
      <c r="B11" s="15" t="s">
        <v>78</v>
      </c>
      <c r="C11" s="15" t="s">
        <v>79</v>
      </c>
      <c r="D11" s="18" t="n">
        <v>0.025</v>
      </c>
      <c r="E11" s="18" t="n">
        <v>0.02</v>
      </c>
      <c r="F11" s="18" t="n">
        <v>0.015</v>
      </c>
      <c r="G11" s="15" t="s">
        <v>64</v>
      </c>
      <c r="H11" s="15" t="s">
        <v>80</v>
      </c>
    </row>
    <row r="12" customFormat="false" ht="15" hidden="false" customHeight="false" outlineLevel="0" collapsed="false">
      <c r="A12" s="15" t="s">
        <v>81</v>
      </c>
      <c r="B12" s="15" t="s">
        <v>82</v>
      </c>
      <c r="C12" s="15" t="s">
        <v>75</v>
      </c>
      <c r="D12" s="18" t="n">
        <v>0.86</v>
      </c>
      <c r="E12" s="18" t="n">
        <v>0.86</v>
      </c>
      <c r="F12" s="18" t="n">
        <v>0.86</v>
      </c>
      <c r="G12" s="15" t="s">
        <v>64</v>
      </c>
      <c r="H12" s="15" t="s">
        <v>83</v>
      </c>
    </row>
    <row r="13" customFormat="false" ht="15" hidden="false" customHeight="false" outlineLevel="0" collapsed="false">
      <c r="A13" s="13" t="s">
        <v>84</v>
      </c>
      <c r="B13" s="14"/>
      <c r="C13" s="14"/>
      <c r="D13" s="14"/>
      <c r="E13" s="14"/>
      <c r="F13" s="14"/>
      <c r="G13" s="14"/>
      <c r="H13" s="14"/>
    </row>
    <row r="14" customFormat="false" ht="41.75" hidden="false" customHeight="false" outlineLevel="0" collapsed="false">
      <c r="A14" s="15" t="s">
        <v>85</v>
      </c>
      <c r="B14" s="15" t="s">
        <v>86</v>
      </c>
      <c r="C14" s="15" t="s">
        <v>87</v>
      </c>
      <c r="D14" s="19" t="n">
        <v>250</v>
      </c>
      <c r="E14" s="19" t="n">
        <v>200</v>
      </c>
      <c r="F14" s="19" t="n">
        <v>160</v>
      </c>
      <c r="G14" s="15" t="s">
        <v>64</v>
      </c>
      <c r="H14" s="15" t="s">
        <v>88</v>
      </c>
    </row>
    <row r="15" customFormat="false" ht="15" hidden="false" customHeight="false" outlineLevel="0" collapsed="false">
      <c r="A15" s="15" t="s">
        <v>89</v>
      </c>
      <c r="B15" s="15" t="s">
        <v>90</v>
      </c>
      <c r="C15" s="15" t="s">
        <v>91</v>
      </c>
      <c r="D15" s="19" t="n">
        <v>250</v>
      </c>
      <c r="E15" s="19" t="n">
        <v>200</v>
      </c>
      <c r="F15" s="19" t="n">
        <v>170</v>
      </c>
      <c r="G15" s="15" t="s">
        <v>64</v>
      </c>
      <c r="H15" s="15" t="s">
        <v>92</v>
      </c>
    </row>
    <row r="16" customFormat="false" ht="15" hidden="false" customHeight="false" outlineLevel="0" collapsed="false">
      <c r="A16" s="15" t="s">
        <v>93</v>
      </c>
      <c r="B16" s="15" t="s">
        <v>94</v>
      </c>
      <c r="C16" s="15" t="s">
        <v>95</v>
      </c>
      <c r="D16" s="19" t="n">
        <v>400000</v>
      </c>
      <c r="E16" s="19" t="n">
        <v>250000</v>
      </c>
      <c r="F16" s="19" t="n">
        <v>150000</v>
      </c>
      <c r="G16" s="15" t="s">
        <v>64</v>
      </c>
      <c r="H16" s="15" t="s">
        <v>96</v>
      </c>
    </row>
    <row r="17" customFormat="false" ht="28.35" hidden="false" customHeight="false" outlineLevel="0" collapsed="false">
      <c r="A17" s="15" t="s">
        <v>97</v>
      </c>
      <c r="B17" s="15" t="s">
        <v>98</v>
      </c>
      <c r="C17" s="15" t="s">
        <v>95</v>
      </c>
      <c r="D17" s="19" t="n">
        <v>300000</v>
      </c>
      <c r="E17" s="19" t="n">
        <v>0</v>
      </c>
      <c r="F17" s="19" t="n">
        <v>0</v>
      </c>
      <c r="G17" s="17" t="s">
        <v>99</v>
      </c>
      <c r="H17" s="15" t="s">
        <v>100</v>
      </c>
    </row>
    <row r="18" customFormat="false" ht="15" hidden="false" customHeight="false" outlineLevel="0" collapsed="false">
      <c r="A18" s="13" t="s">
        <v>101</v>
      </c>
      <c r="B18" s="14"/>
      <c r="C18" s="14"/>
      <c r="D18" s="14"/>
      <c r="E18" s="14"/>
      <c r="F18" s="14"/>
      <c r="G18" s="14"/>
      <c r="H18" s="14"/>
    </row>
    <row r="19" customFormat="false" ht="28.35" hidden="false" customHeight="false" outlineLevel="0" collapsed="false">
      <c r="A19" s="15" t="s">
        <v>102</v>
      </c>
      <c r="B19" s="15" t="s">
        <v>103</v>
      </c>
      <c r="C19" s="15" t="s">
        <v>104</v>
      </c>
      <c r="D19" s="20" t="n">
        <v>0.836</v>
      </c>
      <c r="E19" s="20" t="n">
        <v>1</v>
      </c>
      <c r="F19" s="20" t="n">
        <v>1.126</v>
      </c>
      <c r="G19" s="15" t="s">
        <v>105</v>
      </c>
      <c r="H19" s="15" t="s">
        <v>106</v>
      </c>
    </row>
    <row r="20" customFormat="false" ht="15" hidden="false" customHeight="false" outlineLevel="0" collapsed="false">
      <c r="A20" s="15" t="s">
        <v>107</v>
      </c>
      <c r="B20" s="15" t="s">
        <v>108</v>
      </c>
      <c r="C20" s="15" t="s">
        <v>75</v>
      </c>
      <c r="D20" s="18" t="n">
        <v>0.8</v>
      </c>
      <c r="E20" s="18" t="n">
        <v>0.85</v>
      </c>
      <c r="F20" s="18" t="n">
        <v>0.9</v>
      </c>
      <c r="G20" s="15" t="s">
        <v>64</v>
      </c>
      <c r="H20" s="15" t="s">
        <v>109</v>
      </c>
    </row>
    <row r="21" customFormat="false" ht="15" hidden="false" customHeight="false" outlineLevel="0" collapsed="false">
      <c r="A21" s="15" t="s">
        <v>110</v>
      </c>
      <c r="B21" s="15" t="s">
        <v>111</v>
      </c>
      <c r="C21" s="15" t="s">
        <v>75</v>
      </c>
      <c r="D21" s="18" t="n">
        <v>0</v>
      </c>
      <c r="E21" s="18" t="n">
        <v>0.1</v>
      </c>
      <c r="F21" s="18" t="n">
        <v>0.2</v>
      </c>
      <c r="G21" s="15" t="s">
        <v>64</v>
      </c>
      <c r="H21" s="15" t="s">
        <v>112</v>
      </c>
    </row>
    <row r="22" customFormat="false" ht="28.35" hidden="false" customHeight="false" outlineLevel="0" collapsed="false">
      <c r="A22" s="15" t="s">
        <v>113</v>
      </c>
      <c r="B22" s="15" t="s">
        <v>114</v>
      </c>
      <c r="C22" s="15" t="s">
        <v>79</v>
      </c>
      <c r="D22" s="18" t="n">
        <v>-0.03</v>
      </c>
      <c r="E22" s="18" t="n">
        <v>-0.01</v>
      </c>
      <c r="F22" s="18" t="n">
        <v>0.01</v>
      </c>
      <c r="G22" s="15" t="s">
        <v>64</v>
      </c>
      <c r="H22" s="15" t="s">
        <v>115</v>
      </c>
    </row>
    <row r="23" customFormat="false" ht="41.75" hidden="false" customHeight="false" outlineLevel="0" collapsed="false">
      <c r="A23" s="15" t="s">
        <v>116</v>
      </c>
      <c r="B23" s="15" t="s">
        <v>117</v>
      </c>
      <c r="C23" s="15" t="s">
        <v>118</v>
      </c>
      <c r="D23" s="19" t="n">
        <v>15000</v>
      </c>
      <c r="E23" s="19" t="n">
        <v>30000</v>
      </c>
      <c r="F23" s="19" t="n">
        <v>70000</v>
      </c>
      <c r="G23" s="15" t="s">
        <v>119</v>
      </c>
      <c r="H23" s="15" t="s">
        <v>120</v>
      </c>
    </row>
    <row r="24" customFormat="false" ht="15" hidden="false" customHeight="false" outlineLevel="0" collapsed="false">
      <c r="A24" s="15" t="s">
        <v>121</v>
      </c>
      <c r="B24" s="15" t="s">
        <v>122</v>
      </c>
      <c r="C24" s="15" t="s">
        <v>79</v>
      </c>
      <c r="D24" s="18" t="n">
        <v>-0.15</v>
      </c>
      <c r="E24" s="18" t="n">
        <v>-0.05</v>
      </c>
      <c r="F24" s="18" t="n">
        <v>-0.05</v>
      </c>
      <c r="G24" s="15" t="s">
        <v>64</v>
      </c>
      <c r="H24" s="15" t="s">
        <v>123</v>
      </c>
    </row>
    <row r="25" customFormat="false" ht="15" hidden="false" customHeight="false" outlineLevel="0" collapsed="false">
      <c r="A25" s="15" t="s">
        <v>124</v>
      </c>
      <c r="B25" s="15" t="s">
        <v>125</v>
      </c>
      <c r="C25" s="15" t="s">
        <v>118</v>
      </c>
      <c r="D25" s="19" t="n">
        <v>0</v>
      </c>
      <c r="E25" s="19" t="n">
        <v>10000</v>
      </c>
      <c r="F25" s="19" t="n">
        <v>20000</v>
      </c>
      <c r="G25" s="15" t="s">
        <v>64</v>
      </c>
      <c r="H25" s="15"/>
    </row>
    <row r="26" customFormat="false" ht="15" hidden="false" customHeight="false" outlineLevel="0" collapsed="false">
      <c r="A26" s="13" t="s">
        <v>126</v>
      </c>
      <c r="B26" s="14"/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A27" s="15" t="s">
        <v>127</v>
      </c>
      <c r="B27" s="15" t="s">
        <v>128</v>
      </c>
      <c r="C27" s="15" t="s">
        <v>129</v>
      </c>
      <c r="D27" s="20" t="n">
        <v>12.5</v>
      </c>
      <c r="E27" s="20" t="n">
        <v>10.5</v>
      </c>
      <c r="F27" s="20" t="n">
        <v>10.5</v>
      </c>
      <c r="G27" s="15" t="s">
        <v>105</v>
      </c>
      <c r="H27" s="15" t="s">
        <v>130</v>
      </c>
    </row>
    <row r="28" customFormat="false" ht="28.35" hidden="false" customHeight="false" outlineLevel="0" collapsed="false">
      <c r="A28" s="15" t="s">
        <v>131</v>
      </c>
      <c r="B28" s="15" t="s">
        <v>132</v>
      </c>
      <c r="C28" s="15" t="s">
        <v>129</v>
      </c>
      <c r="D28" s="20" t="n">
        <v>5</v>
      </c>
      <c r="E28" s="20" t="n">
        <v>3</v>
      </c>
      <c r="F28" s="20" t="n">
        <v>2</v>
      </c>
      <c r="G28" s="17" t="s">
        <v>99</v>
      </c>
      <c r="H28" s="15" t="s">
        <v>133</v>
      </c>
    </row>
    <row r="29" customFormat="false" ht="41.75" hidden="false" customHeight="false" outlineLevel="0" collapsed="false">
      <c r="A29" s="15" t="s">
        <v>134</v>
      </c>
      <c r="B29" s="15" t="s">
        <v>135</v>
      </c>
      <c r="C29" s="15" t="s">
        <v>129</v>
      </c>
      <c r="D29" s="20" t="n">
        <v>0.4</v>
      </c>
      <c r="E29" s="20" t="n">
        <v>0.4</v>
      </c>
      <c r="F29" s="20" t="n">
        <v>0.4</v>
      </c>
      <c r="G29" s="17" t="s">
        <v>99</v>
      </c>
      <c r="H29" s="15" t="s">
        <v>136</v>
      </c>
    </row>
    <row r="30" customFormat="false" ht="15" hidden="false" customHeight="false" outlineLevel="0" collapsed="false">
      <c r="A30" s="15" t="s">
        <v>137</v>
      </c>
      <c r="B30" s="15" t="s">
        <v>138</v>
      </c>
      <c r="C30" s="15" t="s">
        <v>129</v>
      </c>
      <c r="D30" s="20" t="n">
        <v>0.92</v>
      </c>
      <c r="E30" s="20" t="n">
        <v>0.92</v>
      </c>
      <c r="F30" s="20" t="n">
        <v>0.92</v>
      </c>
      <c r="G30" s="15" t="s">
        <v>105</v>
      </c>
      <c r="H30" s="15" t="s">
        <v>139</v>
      </c>
    </row>
    <row r="31" customFormat="false" ht="15" hidden="false" customHeight="false" outlineLevel="0" collapsed="false">
      <c r="A31" s="15" t="s">
        <v>140</v>
      </c>
      <c r="B31" s="15" t="s">
        <v>141</v>
      </c>
      <c r="C31" s="15" t="s">
        <v>129</v>
      </c>
      <c r="D31" s="20" t="n">
        <v>0.5</v>
      </c>
      <c r="E31" s="20" t="n">
        <v>0.5</v>
      </c>
      <c r="F31" s="20" t="n">
        <v>0.5</v>
      </c>
      <c r="G31" s="17" t="s">
        <v>99</v>
      </c>
      <c r="H31" s="15" t="s">
        <v>142</v>
      </c>
    </row>
    <row r="32" customFormat="false" ht="15" hidden="false" customHeight="false" outlineLevel="0" collapsed="false">
      <c r="A32" s="15" t="s">
        <v>143</v>
      </c>
      <c r="B32" s="15" t="s">
        <v>144</v>
      </c>
      <c r="C32" s="15" t="s">
        <v>145</v>
      </c>
      <c r="D32" s="20" t="n">
        <v>7.46</v>
      </c>
      <c r="E32" s="20" t="n">
        <v>7.46</v>
      </c>
      <c r="F32" s="20" t="n">
        <v>7.46</v>
      </c>
      <c r="G32" s="15" t="s">
        <v>105</v>
      </c>
      <c r="H32" s="15" t="s">
        <v>146</v>
      </c>
    </row>
    <row r="33" customFormat="false" ht="15" hidden="false" customHeight="false" outlineLevel="0" collapsed="false">
      <c r="A33" s="13" t="s">
        <v>147</v>
      </c>
      <c r="B33" s="14"/>
      <c r="C33" s="14"/>
      <c r="D33" s="14"/>
      <c r="E33" s="14"/>
      <c r="F33" s="14"/>
      <c r="G33" s="14"/>
      <c r="H33" s="14"/>
    </row>
    <row r="34" customFormat="false" ht="28.35" hidden="false" customHeight="false" outlineLevel="0" collapsed="false">
      <c r="A34" s="15" t="s">
        <v>148</v>
      </c>
      <c r="B34" s="15" t="s">
        <v>149</v>
      </c>
      <c r="C34" s="15" t="s">
        <v>150</v>
      </c>
      <c r="D34" s="18" t="n">
        <v>0.02</v>
      </c>
      <c r="E34" s="18" t="n">
        <v>0.015</v>
      </c>
      <c r="F34" s="18" t="n">
        <v>0.012</v>
      </c>
      <c r="G34" s="15" t="s">
        <v>64</v>
      </c>
      <c r="H34" s="15"/>
    </row>
    <row r="35" customFormat="false" ht="28.35" hidden="false" customHeight="false" outlineLevel="0" collapsed="false">
      <c r="A35" s="15" t="s">
        <v>151</v>
      </c>
      <c r="B35" s="15" t="s">
        <v>152</v>
      </c>
      <c r="C35" s="15" t="s">
        <v>150</v>
      </c>
      <c r="D35" s="18" t="n">
        <v>0.005</v>
      </c>
      <c r="E35" s="18" t="n">
        <v>0.004</v>
      </c>
      <c r="F35" s="18" t="n">
        <v>0.003</v>
      </c>
      <c r="G35" s="15" t="s">
        <v>64</v>
      </c>
      <c r="H35" s="15"/>
    </row>
    <row r="36" customFormat="false" ht="41.75" hidden="false" customHeight="false" outlineLevel="0" collapsed="false">
      <c r="A36" s="15" t="s">
        <v>153</v>
      </c>
      <c r="B36" s="15" t="s">
        <v>154</v>
      </c>
      <c r="C36" s="15" t="s">
        <v>155</v>
      </c>
      <c r="D36" s="18" t="n">
        <v>0.15</v>
      </c>
      <c r="E36" s="18" t="n">
        <v>0.1</v>
      </c>
      <c r="F36" s="18" t="n">
        <v>0.07</v>
      </c>
      <c r="G36" s="15" t="s">
        <v>64</v>
      </c>
      <c r="H36" s="15" t="s">
        <v>156</v>
      </c>
    </row>
    <row r="37" customFormat="false" ht="15" hidden="false" customHeight="false" outlineLevel="0" collapsed="false">
      <c r="A37" s="15" t="s">
        <v>157</v>
      </c>
      <c r="B37" s="15" t="s">
        <v>158</v>
      </c>
      <c r="C37" s="15" t="s">
        <v>118</v>
      </c>
      <c r="D37" s="19" t="n">
        <v>10000</v>
      </c>
      <c r="E37" s="19" t="n">
        <v>6000</v>
      </c>
      <c r="F37" s="19" t="n">
        <v>3000</v>
      </c>
      <c r="G37" s="17" t="s">
        <v>59</v>
      </c>
      <c r="H37" s="15" t="s">
        <v>159</v>
      </c>
    </row>
    <row r="38" customFormat="false" ht="28.35" hidden="false" customHeight="false" outlineLevel="0" collapsed="false">
      <c r="A38" s="15" t="s">
        <v>160</v>
      </c>
      <c r="B38" s="15" t="s">
        <v>161</v>
      </c>
      <c r="C38" s="15" t="s">
        <v>162</v>
      </c>
      <c r="D38" s="19" t="n">
        <v>60000</v>
      </c>
      <c r="E38" s="19" t="n">
        <v>40000</v>
      </c>
      <c r="F38" s="19" t="n">
        <v>30000</v>
      </c>
      <c r="G38" s="15" t="s">
        <v>64</v>
      </c>
      <c r="H38" s="15"/>
    </row>
    <row r="39" customFormat="false" ht="15" hidden="false" customHeight="false" outlineLevel="0" collapsed="false">
      <c r="A39" s="13" t="s">
        <v>163</v>
      </c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15" t="s">
        <v>164</v>
      </c>
      <c r="B40" s="15" t="s">
        <v>165</v>
      </c>
      <c r="C40" s="15" t="s">
        <v>79</v>
      </c>
      <c r="D40" s="18" t="n">
        <v>0.02</v>
      </c>
      <c r="E40" s="18" t="n">
        <v>0.02</v>
      </c>
      <c r="F40" s="18" t="n">
        <v>0.02</v>
      </c>
      <c r="G40" s="15" t="s">
        <v>64</v>
      </c>
      <c r="H40" s="15"/>
    </row>
    <row r="41" customFormat="false" ht="15" hidden="false" customHeight="false" outlineLevel="0" collapsed="false">
      <c r="A41" s="15" t="s">
        <v>166</v>
      </c>
      <c r="B41" s="15" t="s">
        <v>167</v>
      </c>
      <c r="C41" s="15" t="s">
        <v>75</v>
      </c>
      <c r="D41" s="18" t="n">
        <v>0.22</v>
      </c>
      <c r="E41" s="18" t="n">
        <v>0.22</v>
      </c>
      <c r="F41" s="18" t="n">
        <v>0.22</v>
      </c>
      <c r="G41" s="15" t="s">
        <v>105</v>
      </c>
      <c r="H41" s="15" t="s">
        <v>168</v>
      </c>
    </row>
    <row r="42" customFormat="false" ht="28.35" hidden="false" customHeight="false" outlineLevel="0" collapsed="false">
      <c r="A42" s="15" t="s">
        <v>169</v>
      </c>
      <c r="B42" s="15" t="s">
        <v>170</v>
      </c>
      <c r="C42" s="15" t="s">
        <v>79</v>
      </c>
      <c r="D42" s="18" t="n">
        <v>0.25</v>
      </c>
      <c r="E42" s="18" t="n">
        <v>0.25</v>
      </c>
      <c r="F42" s="18" t="n">
        <v>0.25</v>
      </c>
      <c r="G42" s="17" t="s">
        <v>99</v>
      </c>
      <c r="H42" s="15" t="s">
        <v>171</v>
      </c>
    </row>
    <row r="43" customFormat="false" ht="15" hidden="false" customHeight="false" outlineLevel="0" collapsed="false">
      <c r="A43" s="15" t="s">
        <v>172</v>
      </c>
      <c r="B43" s="15" t="s">
        <v>173</v>
      </c>
      <c r="C43" s="15" t="s">
        <v>75</v>
      </c>
      <c r="D43" s="18" t="n">
        <v>0.08</v>
      </c>
      <c r="E43" s="18" t="n">
        <v>0.08</v>
      </c>
      <c r="F43" s="18" t="n">
        <v>0.08</v>
      </c>
      <c r="G43" s="15" t="s">
        <v>64</v>
      </c>
      <c r="H43" s="1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9" min="5" style="0" width="14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3" customFormat="false" ht="15" hidden="false" customHeight="false" outlineLevel="0" collapsed="false">
      <c r="A3" s="2" t="s">
        <v>177</v>
      </c>
    </row>
    <row r="4" customFormat="false" ht="15" hidden="false" customHeight="false" outlineLevel="0" collapsed="false">
      <c r="A4" s="2" t="s">
        <v>178</v>
      </c>
    </row>
    <row r="5" customFormat="false" ht="15" hidden="false" customHeight="false" outlineLevel="0" collapsed="false">
      <c r="A5" s="2" t="s">
        <v>179</v>
      </c>
    </row>
    <row r="7" customFormat="false" ht="15" hidden="false" customHeight="false" outlineLevel="0" collapsed="false">
      <c r="A7" s="9" t="s">
        <v>180</v>
      </c>
    </row>
    <row r="8" customFormat="false" ht="30" hidden="false" customHeight="true" outlineLevel="0" collapsed="false">
      <c r="A8" s="3" t="s">
        <v>181</v>
      </c>
      <c r="B8" s="3" t="s">
        <v>182</v>
      </c>
      <c r="C8" s="3" t="s">
        <v>183</v>
      </c>
      <c r="D8" s="3" t="s">
        <v>184</v>
      </c>
      <c r="E8" s="3" t="s">
        <v>185</v>
      </c>
      <c r="F8" s="3" t="s">
        <v>186</v>
      </c>
      <c r="G8" s="3" t="s">
        <v>187</v>
      </c>
      <c r="H8" s="3" t="s">
        <v>188</v>
      </c>
      <c r="I8" s="3" t="s">
        <v>189</v>
      </c>
      <c r="J8" s="3" t="s">
        <v>190</v>
      </c>
    </row>
    <row r="9" customFormat="false" ht="15" hidden="false" customHeight="false" outlineLevel="0" collapsed="false">
      <c r="A9" s="4" t="s">
        <v>191</v>
      </c>
      <c r="B9" s="4" t="s">
        <v>192</v>
      </c>
      <c r="C9" s="6" t="n">
        <v>55896.430694708</v>
      </c>
      <c r="D9" s="6" t="n">
        <v>-16988.640929695</v>
      </c>
      <c r="E9" s="6" t="n">
        <v>0</v>
      </c>
      <c r="F9" s="6" t="n">
        <v>0</v>
      </c>
      <c r="G9" s="6" t="n">
        <v>0</v>
      </c>
      <c r="H9" s="6" t="n">
        <v>38907.7897650129</v>
      </c>
      <c r="I9" s="21" t="n">
        <v>722.063417986445</v>
      </c>
      <c r="J9" s="4" t="n">
        <v>366</v>
      </c>
    </row>
    <row r="10" customFormat="false" ht="15" hidden="false" customHeight="false" outlineLevel="0" collapsed="false">
      <c r="A10" s="4" t="s">
        <v>191</v>
      </c>
      <c r="B10" s="4" t="s">
        <v>193</v>
      </c>
      <c r="C10" s="6" t="n">
        <v>18790.4519591033</v>
      </c>
      <c r="D10" s="6" t="n">
        <v>-4376.33141300684</v>
      </c>
      <c r="E10" s="6" t="n">
        <v>176256.114216739</v>
      </c>
      <c r="F10" s="6" t="n">
        <v>106904.266612972</v>
      </c>
      <c r="G10" s="6" t="n">
        <v>35416.3723894558</v>
      </c>
      <c r="H10" s="6" t="n">
        <v>332990.873765263</v>
      </c>
      <c r="I10" s="21" t="n">
        <v>186.00598078412</v>
      </c>
      <c r="J10" s="4" t="n">
        <v>366</v>
      </c>
    </row>
    <row r="11" customFormat="false" ht="15" hidden="false" customHeight="false" outlineLevel="0" collapsed="false">
      <c r="A11" s="4" t="s">
        <v>194</v>
      </c>
      <c r="B11" s="4" t="s">
        <v>192</v>
      </c>
      <c r="C11" s="6" t="n">
        <v>69181.4394528081</v>
      </c>
      <c r="D11" s="6" t="n">
        <v>-18189.4684562815</v>
      </c>
      <c r="E11" s="6" t="n">
        <v>0</v>
      </c>
      <c r="F11" s="6" t="n">
        <v>0</v>
      </c>
      <c r="G11" s="6" t="n">
        <v>0</v>
      </c>
      <c r="H11" s="6" t="n">
        <v>50991.9709965266</v>
      </c>
      <c r="I11" s="21" t="n">
        <v>773.101851952261</v>
      </c>
      <c r="J11" s="4" t="n">
        <v>365</v>
      </c>
    </row>
    <row r="12" customFormat="false" ht="15" hidden="false" customHeight="false" outlineLevel="0" collapsed="false">
      <c r="A12" s="4" t="s">
        <v>194</v>
      </c>
      <c r="B12" s="4" t="s">
        <v>193</v>
      </c>
      <c r="C12" s="6" t="n">
        <v>17592.1625954696</v>
      </c>
      <c r="D12" s="6" t="n">
        <v>-3897.12893676946</v>
      </c>
      <c r="E12" s="6" t="n">
        <v>268953.501465602</v>
      </c>
      <c r="F12" s="6" t="n">
        <v>60227.8637285819</v>
      </c>
      <c r="G12" s="6" t="n">
        <v>57669.7620980207</v>
      </c>
      <c r="H12" s="6" t="n">
        <v>400546.160950905</v>
      </c>
      <c r="I12" s="21" t="n">
        <v>165.638572977253</v>
      </c>
      <c r="J12" s="4" t="n">
        <v>365</v>
      </c>
    </row>
    <row r="13" customFormat="false" ht="15" hidden="false" customHeight="false" outlineLevel="0" collapsed="false">
      <c r="A13" s="4" t="s">
        <v>195</v>
      </c>
      <c r="B13" s="4" t="s">
        <v>192</v>
      </c>
      <c r="C13" s="6" t="n">
        <v>82753.3745948472</v>
      </c>
      <c r="D13" s="6" t="n">
        <v>-18323.8388082462</v>
      </c>
      <c r="E13" s="6" t="n">
        <v>0</v>
      </c>
      <c r="F13" s="6" t="n">
        <v>0</v>
      </c>
      <c r="G13" s="6" t="n">
        <v>0</v>
      </c>
      <c r="H13" s="6" t="n">
        <v>64429.535786601</v>
      </c>
      <c r="I13" s="21" t="n">
        <v>778.812957155865</v>
      </c>
      <c r="J13" s="4" t="n">
        <v>365</v>
      </c>
    </row>
    <row r="14" customFormat="false" ht="15" hidden="false" customHeight="false" outlineLevel="0" collapsed="false">
      <c r="A14" s="4" t="s">
        <v>195</v>
      </c>
      <c r="B14" s="4" t="s">
        <v>193</v>
      </c>
      <c r="C14" s="6" t="n">
        <v>30214.3326983413</v>
      </c>
      <c r="D14" s="6" t="n">
        <v>-5765.29056279121</v>
      </c>
      <c r="E14" s="6" t="n">
        <v>85907.5866393355</v>
      </c>
      <c r="F14" s="6" t="n">
        <v>99818.0914917422</v>
      </c>
      <c r="G14" s="6" t="n">
        <v>76572.6636072403</v>
      </c>
      <c r="H14" s="6" t="n">
        <v>286747.383873868</v>
      </c>
      <c r="I14" s="21" t="n">
        <v>245.04052011468</v>
      </c>
      <c r="J14" s="4" t="n">
        <v>365</v>
      </c>
    </row>
    <row r="15" customFormat="false" ht="15" hidden="false" customHeight="false" outlineLevel="0" collapsed="false">
      <c r="A15" s="4" t="s">
        <v>196</v>
      </c>
      <c r="B15" s="4" t="s">
        <v>192</v>
      </c>
      <c r="C15" s="6" t="n">
        <v>93165.7257212487</v>
      </c>
      <c r="D15" s="6" t="n">
        <v>-19266.5653117785</v>
      </c>
      <c r="E15" s="6" t="n">
        <v>0</v>
      </c>
      <c r="F15" s="6" t="n">
        <v>0</v>
      </c>
      <c r="G15" s="6" t="n">
        <v>0</v>
      </c>
      <c r="H15" s="6" t="n">
        <v>73899.1604094702</v>
      </c>
      <c r="I15" s="21" t="n">
        <v>818.881396072429</v>
      </c>
      <c r="J15" s="4" t="n">
        <v>285</v>
      </c>
    </row>
    <row r="16" customFormat="false" ht="15" hidden="false" customHeight="false" outlineLevel="0" collapsed="false">
      <c r="A16" s="4" t="s">
        <v>196</v>
      </c>
      <c r="B16" s="4" t="s">
        <v>193</v>
      </c>
      <c r="C16" s="6" t="n">
        <v>36245.0292001922</v>
      </c>
      <c r="D16" s="6" t="n">
        <v>-6661.66583710653</v>
      </c>
      <c r="E16" s="6" t="n">
        <v>63004.5745238732</v>
      </c>
      <c r="F16" s="6" t="n">
        <v>119102.902444152</v>
      </c>
      <c r="G16" s="6" t="n">
        <v>78613.1615456636</v>
      </c>
      <c r="H16" s="6" t="n">
        <v>290304.001876774</v>
      </c>
      <c r="I16" s="21" t="n">
        <v>283.138905797747</v>
      </c>
      <c r="J16" s="4" t="n">
        <v>285</v>
      </c>
    </row>
    <row r="18" customFormat="false" ht="15" hidden="false" customHeight="false" outlineLevel="0" collapsed="false">
      <c r="A18" s="9" t="s">
        <v>197</v>
      </c>
    </row>
    <row r="19" customFormat="false" ht="28.35" hidden="false" customHeight="false" outlineLevel="0" collapsed="false">
      <c r="A19" s="3" t="s">
        <v>7</v>
      </c>
      <c r="B19" s="3" t="s">
        <v>198</v>
      </c>
      <c r="C19" s="3" t="s">
        <v>199</v>
      </c>
      <c r="D19" s="3" t="s">
        <v>200</v>
      </c>
      <c r="E19" s="3" t="s">
        <v>201</v>
      </c>
    </row>
    <row r="20" customFormat="false" ht="15" hidden="false" customHeight="false" outlineLevel="0" collapsed="false">
      <c r="A20" s="4" t="n">
        <v>1</v>
      </c>
      <c r="B20" s="4" t="s">
        <v>202</v>
      </c>
      <c r="C20" s="6" t="n">
        <v>46403</v>
      </c>
      <c r="D20" s="21" t="n">
        <v>425</v>
      </c>
      <c r="E20" s="6" t="n">
        <v>36404</v>
      </c>
    </row>
    <row r="21" customFormat="false" ht="15" hidden="false" customHeight="false" outlineLevel="0" collapsed="false">
      <c r="A21" s="4" t="n">
        <v>2</v>
      </c>
      <c r="B21" s="4" t="s">
        <v>203</v>
      </c>
      <c r="C21" s="6" t="n">
        <v>82753.3745948472</v>
      </c>
      <c r="D21" s="21" t="n">
        <v>778.812957155865</v>
      </c>
      <c r="E21" s="6" t="n">
        <v>64429.535786601</v>
      </c>
    </row>
    <row r="22" customFormat="false" ht="15" hidden="false" customHeight="false" outlineLevel="0" collapsed="false">
      <c r="A22" s="4" t="n">
        <v>4</v>
      </c>
      <c r="B22" s="4" t="s">
        <v>202</v>
      </c>
      <c r="C22" s="6" t="n">
        <v>135158</v>
      </c>
      <c r="D22" s="21" t="n">
        <v>1302</v>
      </c>
      <c r="E22" s="6" t="n">
        <v>104536</v>
      </c>
    </row>
    <row r="24" customFormat="false" ht="15" hidden="false" customHeight="false" outlineLevel="0" collapsed="false">
      <c r="A24" s="9" t="s">
        <v>204</v>
      </c>
    </row>
    <row r="25" customFormat="false" ht="41.75" hidden="false" customHeight="false" outlineLevel="0" collapsed="false">
      <c r="A25" s="3" t="s">
        <v>205</v>
      </c>
      <c r="B25" s="3" t="s">
        <v>183</v>
      </c>
      <c r="C25" s="3" t="s">
        <v>184</v>
      </c>
      <c r="D25" s="3" t="s">
        <v>185</v>
      </c>
      <c r="E25" s="3" t="s">
        <v>187</v>
      </c>
      <c r="F25" s="3" t="s">
        <v>188</v>
      </c>
      <c r="G25" s="3" t="s">
        <v>206</v>
      </c>
    </row>
    <row r="26" customFormat="false" ht="15" hidden="false" customHeight="false" outlineLevel="0" collapsed="false">
      <c r="A26" s="22" t="n">
        <v>1</v>
      </c>
      <c r="B26" s="6" t="n">
        <v>54252</v>
      </c>
      <c r="C26" s="6" t="n">
        <v>-11364</v>
      </c>
      <c r="D26" s="6" t="n">
        <v>95069</v>
      </c>
      <c r="E26" s="6" t="n">
        <v>82536</v>
      </c>
      <c r="F26" s="6" t="n">
        <v>220493</v>
      </c>
      <c r="G26" s="6" t="n">
        <v>156063.464213399</v>
      </c>
    </row>
    <row r="27" customFormat="false" ht="15" hidden="false" customHeight="false" outlineLevel="0" collapsed="false">
      <c r="A27" s="22" t="n">
        <v>0.5</v>
      </c>
      <c r="B27" s="6" t="n">
        <v>64544</v>
      </c>
      <c r="C27" s="6" t="n">
        <v>-13162</v>
      </c>
      <c r="D27" s="6" t="n">
        <v>44689</v>
      </c>
      <c r="E27" s="6" t="n">
        <v>37960</v>
      </c>
      <c r="F27" s="6" t="n">
        <v>134031</v>
      </c>
      <c r="G27" s="6" t="n">
        <v>69601.464213399</v>
      </c>
    </row>
    <row r="28" customFormat="false" ht="15" hidden="false" customHeight="false" outlineLevel="0" collapsed="false">
      <c r="A28" s="22" t="n">
        <v>0.25</v>
      </c>
      <c r="B28" s="6" t="n">
        <v>72429</v>
      </c>
      <c r="C28" s="6" t="n">
        <v>-14877</v>
      </c>
      <c r="D28" s="6" t="n">
        <v>20003</v>
      </c>
      <c r="E28" s="6" t="n">
        <v>16979</v>
      </c>
      <c r="F28" s="6" t="n">
        <v>94534</v>
      </c>
      <c r="G28" s="6" t="n">
        <v>30104.464213399</v>
      </c>
    </row>
    <row r="30" customFormat="false" ht="15" hidden="false" customHeight="false" outlineLevel="0" collapsed="false">
      <c r="A30" s="9" t="s">
        <v>207</v>
      </c>
    </row>
    <row r="31" customFormat="false" ht="55.2" hidden="false" customHeight="false" outlineLevel="0" collapsed="false">
      <c r="A31" s="3" t="s">
        <v>208</v>
      </c>
      <c r="B31" s="3" t="s">
        <v>209</v>
      </c>
      <c r="C31" s="3" t="s">
        <v>210</v>
      </c>
      <c r="D31" s="3" t="s">
        <v>211</v>
      </c>
      <c r="E31" s="3" t="s">
        <v>212</v>
      </c>
      <c r="F31" s="3" t="s">
        <v>213</v>
      </c>
      <c r="G31" s="3" t="s">
        <v>214</v>
      </c>
      <c r="H31" s="3" t="s">
        <v>215</v>
      </c>
      <c r="I31" s="3" t="s">
        <v>216</v>
      </c>
      <c r="J31" s="3" t="s">
        <v>217</v>
      </c>
      <c r="K31" s="3" t="s">
        <v>218</v>
      </c>
    </row>
    <row r="32" customFormat="false" ht="15" hidden="false" customHeight="false" outlineLevel="0" collapsed="false">
      <c r="A32" s="4" t="s">
        <v>219</v>
      </c>
      <c r="B32" s="23" t="n">
        <v>76.9</v>
      </c>
      <c r="C32" s="23" t="n">
        <v>109.6</v>
      </c>
      <c r="D32" s="23"/>
      <c r="E32" s="23"/>
      <c r="F32" s="23" t="n">
        <v>16.4</v>
      </c>
      <c r="G32" s="23"/>
      <c r="H32" s="23"/>
      <c r="I32" s="23"/>
      <c r="J32" s="23" t="n">
        <v>1.2</v>
      </c>
      <c r="K32" s="23"/>
    </row>
    <row r="33" customFormat="false" ht="15" hidden="false" customHeight="false" outlineLevel="0" collapsed="false">
      <c r="A33" s="4" t="s">
        <v>220</v>
      </c>
      <c r="B33" s="23" t="n">
        <v>86.7</v>
      </c>
      <c r="C33" s="23" t="n">
        <v>87.4</v>
      </c>
      <c r="D33" s="23"/>
      <c r="E33" s="23"/>
      <c r="F33" s="23" t="n">
        <v>9.8</v>
      </c>
      <c r="G33" s="23" t="n">
        <v>0.6</v>
      </c>
      <c r="H33" s="23"/>
      <c r="I33" s="23"/>
      <c r="J33" s="23" t="n">
        <v>0.8</v>
      </c>
      <c r="K33" s="23"/>
    </row>
    <row r="34" customFormat="false" ht="15" hidden="false" customHeight="false" outlineLevel="0" collapsed="false">
      <c r="A34" s="4" t="s">
        <v>221</v>
      </c>
      <c r="B34" s="23" t="n">
        <v>109.8</v>
      </c>
      <c r="C34" s="23" t="n">
        <v>78.4</v>
      </c>
      <c r="D34" s="23"/>
      <c r="E34" s="23"/>
      <c r="F34" s="23" t="n">
        <v>9.7</v>
      </c>
      <c r="G34" s="23" t="n">
        <v>7.4</v>
      </c>
      <c r="H34" s="23"/>
      <c r="I34" s="23"/>
      <c r="J34" s="23" t="n">
        <v>1.8</v>
      </c>
      <c r="K34" s="23"/>
    </row>
    <row r="35" customFormat="false" ht="15" hidden="false" customHeight="false" outlineLevel="0" collapsed="false">
      <c r="A35" s="4" t="s">
        <v>222</v>
      </c>
      <c r="B35" s="23" t="n">
        <v>74</v>
      </c>
      <c r="C35" s="23" t="n">
        <v>72.4</v>
      </c>
      <c r="D35" s="23"/>
      <c r="E35" s="23"/>
      <c r="F35" s="23" t="n">
        <v>15.3</v>
      </c>
      <c r="G35" s="23" t="n">
        <v>1.6</v>
      </c>
      <c r="H35" s="23"/>
      <c r="I35" s="23"/>
      <c r="J35" s="23" t="n">
        <v>3.8</v>
      </c>
      <c r="K35" s="23"/>
    </row>
    <row r="36" customFormat="false" ht="15" hidden="false" customHeight="false" outlineLevel="0" collapsed="false">
      <c r="A36" s="4" t="s">
        <v>223</v>
      </c>
      <c r="B36" s="23" t="n">
        <v>47.7</v>
      </c>
      <c r="C36" s="23" t="n">
        <v>65</v>
      </c>
      <c r="D36" s="23"/>
      <c r="E36" s="23"/>
      <c r="F36" s="23" t="n">
        <v>9.2</v>
      </c>
      <c r="G36" s="23" t="n">
        <v>4.4</v>
      </c>
      <c r="H36" s="23"/>
      <c r="I36" s="23"/>
      <c r="J36" s="23" t="n">
        <v>2.9</v>
      </c>
      <c r="K36" s="23" t="n">
        <v>284</v>
      </c>
    </row>
    <row r="37" customFormat="false" ht="15" hidden="false" customHeight="false" outlineLevel="0" collapsed="false">
      <c r="A37" s="4" t="s">
        <v>224</v>
      </c>
      <c r="B37" s="23" t="n">
        <v>95</v>
      </c>
      <c r="C37" s="23" t="n">
        <v>60.5</v>
      </c>
      <c r="D37" s="23"/>
      <c r="E37" s="23"/>
      <c r="F37" s="23" t="n">
        <v>21.8</v>
      </c>
      <c r="G37" s="23" t="n">
        <v>0.7</v>
      </c>
      <c r="H37" s="23"/>
      <c r="I37" s="23"/>
      <c r="J37" s="23" t="n">
        <v>3.8</v>
      </c>
      <c r="K37" s="23" t="n">
        <v>289.4</v>
      </c>
    </row>
    <row r="38" customFormat="false" ht="15" hidden="false" customHeight="false" outlineLevel="0" collapsed="false">
      <c r="A38" s="4" t="s">
        <v>225</v>
      </c>
      <c r="B38" s="23" t="n">
        <v>122.5</v>
      </c>
      <c r="C38" s="23" t="n">
        <v>68.9</v>
      </c>
      <c r="D38" s="23"/>
      <c r="E38" s="23"/>
      <c r="F38" s="23" t="n">
        <v>21.1</v>
      </c>
      <c r="G38" s="23" t="n">
        <v>12</v>
      </c>
      <c r="H38" s="23"/>
      <c r="I38" s="23"/>
      <c r="J38" s="23" t="n">
        <v>3</v>
      </c>
      <c r="K38" s="23" t="n">
        <v>313.1</v>
      </c>
    </row>
    <row r="39" customFormat="false" ht="15" hidden="false" customHeight="false" outlineLevel="0" collapsed="false">
      <c r="A39" s="4" t="s">
        <v>226</v>
      </c>
      <c r="B39" s="23" t="n">
        <v>105.2</v>
      </c>
      <c r="C39" s="23" t="n">
        <v>88.1</v>
      </c>
      <c r="D39" s="23" t="n">
        <v>70.3</v>
      </c>
      <c r="E39" s="23" t="n">
        <v>13.3</v>
      </c>
      <c r="F39" s="23" t="n">
        <v>12.9</v>
      </c>
      <c r="G39" s="23" t="n">
        <v>6.1</v>
      </c>
      <c r="H39" s="23"/>
      <c r="I39" s="23"/>
      <c r="J39" s="23" t="n">
        <v>2</v>
      </c>
      <c r="K39" s="23" t="n">
        <v>302.8</v>
      </c>
    </row>
    <row r="40" customFormat="false" ht="15" hidden="false" customHeight="false" outlineLevel="0" collapsed="false">
      <c r="A40" s="4" t="s">
        <v>227</v>
      </c>
      <c r="B40" s="23" t="n">
        <v>99.8</v>
      </c>
      <c r="C40" s="23" t="n">
        <v>97.9</v>
      </c>
      <c r="D40" s="23" t="n">
        <v>41.6</v>
      </c>
      <c r="E40" s="23" t="n">
        <v>1.3</v>
      </c>
      <c r="F40" s="23" t="n">
        <v>10.9</v>
      </c>
      <c r="G40" s="23" t="n">
        <v>15</v>
      </c>
      <c r="H40" s="23"/>
      <c r="I40" s="23"/>
      <c r="J40" s="23" t="n">
        <v>2.8</v>
      </c>
      <c r="K40" s="23" t="n">
        <v>317</v>
      </c>
    </row>
    <row r="41" customFormat="false" ht="15" hidden="false" customHeight="false" outlineLevel="0" collapsed="false">
      <c r="A41" s="4" t="s">
        <v>228</v>
      </c>
      <c r="B41" s="23" t="n">
        <v>129.4</v>
      </c>
      <c r="C41" s="23" t="n">
        <v>66</v>
      </c>
      <c r="D41" s="23" t="n">
        <v>46.3</v>
      </c>
      <c r="E41" s="23" t="n">
        <v>1.1</v>
      </c>
      <c r="F41" s="23" t="n">
        <v>22.4</v>
      </c>
      <c r="G41" s="23" t="n">
        <v>4.5</v>
      </c>
      <c r="H41" s="23"/>
      <c r="I41" s="23"/>
      <c r="J41" s="23" t="n">
        <v>8.8</v>
      </c>
      <c r="K41" s="23" t="n">
        <v>292.3</v>
      </c>
    </row>
    <row r="42" customFormat="false" ht="15" hidden="false" customHeight="false" outlineLevel="0" collapsed="false">
      <c r="A42" s="4" t="s">
        <v>229</v>
      </c>
      <c r="B42" s="23" t="n">
        <v>123.6</v>
      </c>
      <c r="C42" s="23" t="n">
        <v>76.3</v>
      </c>
      <c r="D42" s="23" t="n">
        <v>35.3</v>
      </c>
      <c r="E42" s="23" t="n">
        <v>0.5</v>
      </c>
      <c r="F42" s="23" t="n">
        <v>16.9</v>
      </c>
      <c r="G42" s="23" t="n">
        <v>12.3</v>
      </c>
      <c r="H42" s="23" t="n">
        <v>99.8</v>
      </c>
      <c r="I42" s="23" t="n">
        <v>99.8</v>
      </c>
      <c r="J42" s="23" t="n">
        <v>10.4</v>
      </c>
      <c r="K42" s="23" t="n">
        <v>262.7</v>
      </c>
    </row>
    <row r="43" customFormat="false" ht="15" hidden="false" customHeight="false" outlineLevel="0" collapsed="false">
      <c r="A43" s="4" t="s">
        <v>230</v>
      </c>
      <c r="B43" s="23" t="n">
        <v>75.7</v>
      </c>
      <c r="C43" s="23" t="n">
        <v>84.5</v>
      </c>
      <c r="D43" s="23" t="n">
        <v>21.8</v>
      </c>
      <c r="E43" s="23" t="n">
        <v>0.3</v>
      </c>
      <c r="F43" s="23" t="n">
        <v>10.5</v>
      </c>
      <c r="G43" s="23" t="n">
        <v>13.4</v>
      </c>
      <c r="H43" s="23" t="n">
        <v>100</v>
      </c>
      <c r="I43" s="23" t="n">
        <v>100</v>
      </c>
      <c r="J43" s="23" t="n">
        <v>7.7</v>
      </c>
      <c r="K43" s="23" t="n">
        <v>351.1</v>
      </c>
    </row>
    <row r="44" customFormat="false" ht="15" hidden="false" customHeight="false" outlineLevel="0" collapsed="false">
      <c r="A44" s="4" t="s">
        <v>231</v>
      </c>
      <c r="B44" s="23" t="n">
        <v>84.8</v>
      </c>
      <c r="C44" s="23" t="n">
        <v>99.9</v>
      </c>
      <c r="D44" s="23" t="n">
        <v>15.3</v>
      </c>
      <c r="E44" s="23" t="n">
        <v>0.6</v>
      </c>
      <c r="F44" s="23" t="n">
        <v>11.8</v>
      </c>
      <c r="G44" s="23" t="n">
        <v>17.9</v>
      </c>
      <c r="H44" s="23" t="n">
        <v>95.4</v>
      </c>
      <c r="I44" s="23" t="n">
        <v>68.9</v>
      </c>
      <c r="J44" s="23" t="n">
        <v>3.8</v>
      </c>
      <c r="K44" s="23" t="n">
        <v>322.1</v>
      </c>
    </row>
    <row r="45" customFormat="false" ht="15" hidden="false" customHeight="false" outlineLevel="0" collapsed="false">
      <c r="A45" s="4" t="s">
        <v>232</v>
      </c>
      <c r="B45" s="23" t="n">
        <v>156.2</v>
      </c>
      <c r="C45" s="23" t="n">
        <v>97.8</v>
      </c>
      <c r="D45" s="23" t="n">
        <v>13.8</v>
      </c>
      <c r="E45" s="23" t="n">
        <v>0.1</v>
      </c>
      <c r="F45" s="23" t="n">
        <v>23.4</v>
      </c>
      <c r="G45" s="23" t="n">
        <v>15</v>
      </c>
      <c r="H45" s="23" t="n">
        <v>92.5</v>
      </c>
      <c r="I45" s="23" t="n">
        <v>20</v>
      </c>
      <c r="J45" s="23" t="n">
        <v>8.3</v>
      </c>
      <c r="K45" s="23" t="n">
        <v>366.9</v>
      </c>
    </row>
    <row r="46" customFormat="false" ht="15" hidden="false" customHeight="false" outlineLevel="0" collapsed="false">
      <c r="A46" s="4" t="s">
        <v>233</v>
      </c>
      <c r="B46" s="23" t="n">
        <v>168.6</v>
      </c>
      <c r="C46" s="23" t="n">
        <v>122.5</v>
      </c>
      <c r="D46" s="23" t="n">
        <v>6.2</v>
      </c>
      <c r="E46" s="23" t="n">
        <v>0</v>
      </c>
      <c r="F46" s="23" t="n">
        <v>22</v>
      </c>
      <c r="G46" s="23" t="n">
        <v>7</v>
      </c>
      <c r="H46" s="23" t="n">
        <v>90</v>
      </c>
      <c r="I46" s="23" t="n">
        <v>20</v>
      </c>
      <c r="J46" s="23" t="n">
        <v>8</v>
      </c>
      <c r="K46" s="23" t="n">
        <v>310.1</v>
      </c>
    </row>
    <row r="47" customFormat="false" ht="15" hidden="false" customHeight="false" outlineLevel="0" collapsed="false">
      <c r="A47" s="4" t="s">
        <v>234</v>
      </c>
      <c r="B47" s="23" t="n">
        <v>147.9</v>
      </c>
      <c r="C47" s="23" t="n">
        <v>152.5</v>
      </c>
      <c r="D47" s="23" t="n">
        <v>10.1</v>
      </c>
      <c r="E47" s="23" t="n">
        <v>0</v>
      </c>
      <c r="F47" s="23" t="n">
        <v>19.2</v>
      </c>
      <c r="G47" s="23" t="n">
        <v>6.6</v>
      </c>
      <c r="H47" s="23" t="n">
        <v>90</v>
      </c>
      <c r="I47" s="23" t="n">
        <v>20</v>
      </c>
      <c r="J47" s="23" t="n">
        <v>5.6</v>
      </c>
      <c r="K47" s="23" t="n">
        <v>286.2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23" min="3" style="0" width="12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0" t="s">
        <v>236</v>
      </c>
      <c r="B2" s="0" t="n">
        <v>1</v>
      </c>
    </row>
    <row r="4" customFormat="false" ht="15" hidden="false" customHeight="false" outlineLevel="0" collapsed="false">
      <c r="A4" s="9" t="s">
        <v>237</v>
      </c>
    </row>
    <row r="5" customFormat="false" ht="15" hidden="false" customHeight="false" outlineLevel="0" collapsed="false">
      <c r="A5" s="0" t="s">
        <v>238</v>
      </c>
      <c r="B5" s="24" t="n">
        <f aca="false">INDEX(Forudsætninger!$D$6:$F$6,1,$B$2)</f>
        <v>10</v>
      </c>
    </row>
    <row r="6" customFormat="false" ht="15" hidden="false" customHeight="false" outlineLevel="0" collapsed="false">
      <c r="A6" s="0" t="s">
        <v>239</v>
      </c>
      <c r="B6" s="24" t="n">
        <f aca="false">INDEX(Forudsætninger!$D$7:$F$7,1,$B$2)</f>
        <v>2</v>
      </c>
    </row>
    <row r="7" customFormat="false" ht="15" hidden="false" customHeight="false" outlineLevel="0" collapsed="false">
      <c r="A7" s="0" t="s">
        <v>240</v>
      </c>
      <c r="B7" s="24" t="n">
        <f aca="false">INDEX(Forudsætninger!$D$8:$F$8,1,$B$2)</f>
        <v>2028</v>
      </c>
    </row>
    <row r="8" customFormat="false" ht="15" hidden="false" customHeight="false" outlineLevel="0" collapsed="false">
      <c r="A8" s="0" t="s">
        <v>241</v>
      </c>
      <c r="B8" s="24" t="n">
        <f aca="false">INDEX(Forudsætninger!$D$9:$F$9,1,$B$2)</f>
        <v>15</v>
      </c>
    </row>
    <row r="9" customFormat="false" ht="15" hidden="false" customHeight="false" outlineLevel="0" collapsed="false">
      <c r="A9" s="0" t="s">
        <v>242</v>
      </c>
      <c r="B9" s="25" t="n">
        <f aca="false">INDEX(Forudsætninger!$D$10:$F$10,1,$B$2)</f>
        <v>0.85</v>
      </c>
    </row>
    <row r="10" customFormat="false" ht="15" hidden="false" customHeight="false" outlineLevel="0" collapsed="false">
      <c r="A10" s="0" t="s">
        <v>243</v>
      </c>
      <c r="B10" s="25" t="n">
        <f aca="false">INDEX(Forudsætninger!$D$11:$F$11,1,$B$2)</f>
        <v>0.025</v>
      </c>
    </row>
    <row r="11" customFormat="false" ht="15" hidden="false" customHeight="false" outlineLevel="0" collapsed="false">
      <c r="A11" s="0" t="s">
        <v>244</v>
      </c>
      <c r="B11" s="25" t="n">
        <f aca="false">INDEX(Forudsætninger!$D$12:$F$12,1,$B$2)</f>
        <v>0.86</v>
      </c>
    </row>
    <row r="12" customFormat="false" ht="15" hidden="false" customHeight="false" outlineLevel="0" collapsed="false">
      <c r="A12" s="0" t="s">
        <v>245</v>
      </c>
      <c r="B12" s="24" t="n">
        <f aca="false">INDEX(Forudsætninger!$D$14:$F$14,1,$B$2)</f>
        <v>250</v>
      </c>
    </row>
    <row r="13" customFormat="false" ht="15" hidden="false" customHeight="false" outlineLevel="0" collapsed="false">
      <c r="A13" s="0" t="s">
        <v>246</v>
      </c>
      <c r="B13" s="24" t="n">
        <f aca="false">INDEX(Forudsætninger!$D$15:$F$15,1,$B$2)</f>
        <v>250</v>
      </c>
    </row>
    <row r="14" customFormat="false" ht="15" hidden="false" customHeight="false" outlineLevel="0" collapsed="false">
      <c r="A14" s="0" t="s">
        <v>247</v>
      </c>
      <c r="B14" s="24" t="n">
        <f aca="false">INDEX(Forudsætninger!$D$16:$F$16,1,$B$2)</f>
        <v>400000</v>
      </c>
    </row>
    <row r="15" customFormat="false" ht="15" hidden="false" customHeight="false" outlineLevel="0" collapsed="false">
      <c r="A15" s="0" t="s">
        <v>248</v>
      </c>
      <c r="B15" s="24" t="n">
        <f aca="false">INDEX(Forudsætninger!$D$17:$F$17,1,$B$2)</f>
        <v>300000</v>
      </c>
    </row>
    <row r="16" customFormat="false" ht="15" hidden="false" customHeight="false" outlineLevel="0" collapsed="false">
      <c r="A16" s="0" t="s">
        <v>249</v>
      </c>
      <c r="B16" s="26" t="n">
        <f aca="false">INDEX(Forudsætninger!$D$19:$F$19,1,$B$2)</f>
        <v>0.836</v>
      </c>
    </row>
    <row r="17" customFormat="false" ht="15" hidden="false" customHeight="false" outlineLevel="0" collapsed="false">
      <c r="A17" s="0" t="s">
        <v>250</v>
      </c>
      <c r="B17" s="25" t="n">
        <f aca="false">INDEX(Forudsætninger!$D$20:$F$20,1,$B$2)</f>
        <v>0.8</v>
      </c>
    </row>
    <row r="18" customFormat="false" ht="15" hidden="false" customHeight="false" outlineLevel="0" collapsed="false">
      <c r="A18" s="0" t="s">
        <v>251</v>
      </c>
      <c r="B18" s="25" t="n">
        <f aca="false">INDEX(Forudsætninger!$D$21:$F$21,1,$B$2)</f>
        <v>0</v>
      </c>
    </row>
    <row r="19" customFormat="false" ht="15" hidden="false" customHeight="false" outlineLevel="0" collapsed="false">
      <c r="A19" s="0" t="s">
        <v>252</v>
      </c>
      <c r="B19" s="25" t="n">
        <f aca="false">INDEX(Forudsætninger!$D$22:$F$22,1,$B$2)</f>
        <v>-0.03</v>
      </c>
    </row>
    <row r="20" customFormat="false" ht="15" hidden="false" customHeight="false" outlineLevel="0" collapsed="false">
      <c r="A20" s="0" t="s">
        <v>253</v>
      </c>
      <c r="B20" s="24" t="n">
        <f aca="false">INDEX(Forudsætninger!$D$23:$F$23,1,$B$2)</f>
        <v>15000</v>
      </c>
    </row>
    <row r="21" customFormat="false" ht="15" hidden="false" customHeight="false" outlineLevel="0" collapsed="false">
      <c r="A21" s="0" t="s">
        <v>254</v>
      </c>
      <c r="B21" s="25" t="n">
        <f aca="false">INDEX(Forudsætninger!$D$24:$F$24,1,$B$2)</f>
        <v>-0.15</v>
      </c>
    </row>
    <row r="22" customFormat="false" ht="15" hidden="false" customHeight="false" outlineLevel="0" collapsed="false">
      <c r="A22" s="0" t="s">
        <v>255</v>
      </c>
      <c r="B22" s="24" t="n">
        <f aca="false">INDEX(Forudsætninger!$D$25:$F$25,1,$B$2)</f>
        <v>0</v>
      </c>
    </row>
    <row r="23" customFormat="false" ht="15" hidden="false" customHeight="false" outlineLevel="0" collapsed="false">
      <c r="A23" s="0" t="s">
        <v>256</v>
      </c>
      <c r="B23" s="26" t="n">
        <f aca="false">INDEX(Forudsætninger!$D$27:$F$27,1,$B$2)</f>
        <v>12.5</v>
      </c>
    </row>
    <row r="24" customFormat="false" ht="15" hidden="false" customHeight="false" outlineLevel="0" collapsed="false">
      <c r="A24" s="0" t="s">
        <v>257</v>
      </c>
      <c r="B24" s="26" t="n">
        <f aca="false">INDEX(Forudsætninger!$D$28:$F$28,1,$B$2)</f>
        <v>5</v>
      </c>
    </row>
    <row r="25" customFormat="false" ht="15" hidden="false" customHeight="false" outlineLevel="0" collapsed="false">
      <c r="A25" s="0" t="s">
        <v>258</v>
      </c>
      <c r="B25" s="26" t="n">
        <f aca="false">INDEX(Forudsætninger!$D$29:$F$29,1,$B$2)</f>
        <v>0.4</v>
      </c>
    </row>
    <row r="26" customFormat="false" ht="15" hidden="false" customHeight="false" outlineLevel="0" collapsed="false">
      <c r="A26" s="0" t="s">
        <v>259</v>
      </c>
      <c r="B26" s="26" t="n">
        <f aca="false">INDEX(Forudsætninger!$D$30:$F$30,1,$B$2)</f>
        <v>0.92</v>
      </c>
    </row>
    <row r="27" customFormat="false" ht="15" hidden="false" customHeight="false" outlineLevel="0" collapsed="false">
      <c r="A27" s="0" t="s">
        <v>260</v>
      </c>
      <c r="B27" s="26" t="n">
        <f aca="false">INDEX(Forudsætninger!$D$31:$F$31,1,$B$2)</f>
        <v>0.5</v>
      </c>
    </row>
    <row r="28" customFormat="false" ht="15" hidden="false" customHeight="false" outlineLevel="0" collapsed="false">
      <c r="A28" s="0" t="s">
        <v>261</v>
      </c>
      <c r="B28" s="26" t="n">
        <f aca="false">INDEX(Forudsætninger!$D$32:$F$32,1,$B$2)</f>
        <v>7.46</v>
      </c>
    </row>
    <row r="29" customFormat="false" ht="15" hidden="false" customHeight="false" outlineLevel="0" collapsed="false">
      <c r="A29" s="0" t="s">
        <v>262</v>
      </c>
      <c r="B29" s="25" t="n">
        <f aca="false">INDEX(Forudsætninger!$D$34:$F$34,1,$B$2)</f>
        <v>0.02</v>
      </c>
    </row>
    <row r="30" customFormat="false" ht="15" hidden="false" customHeight="false" outlineLevel="0" collapsed="false">
      <c r="A30" s="0" t="s">
        <v>263</v>
      </c>
      <c r="B30" s="25" t="n">
        <f aca="false">INDEX(Forudsætninger!$D$35:$F$35,1,$B$2)</f>
        <v>0.005</v>
      </c>
    </row>
    <row r="31" customFormat="false" ht="15" hidden="false" customHeight="false" outlineLevel="0" collapsed="false">
      <c r="A31" s="0" t="s">
        <v>264</v>
      </c>
      <c r="B31" s="25" t="n">
        <f aca="false">INDEX(Forudsætninger!$D$36:$F$36,1,$B$2)</f>
        <v>0.15</v>
      </c>
    </row>
    <row r="32" customFormat="false" ht="15" hidden="false" customHeight="false" outlineLevel="0" collapsed="false">
      <c r="A32" s="0" t="s">
        <v>265</v>
      </c>
      <c r="B32" s="24" t="n">
        <f aca="false">INDEX(Forudsætninger!$D$37:$F$37,1,$B$2)</f>
        <v>10000</v>
      </c>
    </row>
    <row r="33" customFormat="false" ht="15" hidden="false" customHeight="false" outlineLevel="0" collapsed="false">
      <c r="A33" s="0" t="s">
        <v>266</v>
      </c>
      <c r="B33" s="24" t="n">
        <f aca="false">INDEX(Forudsætninger!$D$38:$F$38,1,$B$2)</f>
        <v>60000</v>
      </c>
    </row>
    <row r="34" customFormat="false" ht="15" hidden="false" customHeight="false" outlineLevel="0" collapsed="false">
      <c r="A34" s="0" t="s">
        <v>267</v>
      </c>
      <c r="B34" s="25" t="n">
        <f aca="false">INDEX(Forudsætninger!$D$40:$F$40,1,$B$2)</f>
        <v>0.02</v>
      </c>
    </row>
    <row r="35" customFormat="false" ht="15" hidden="false" customHeight="false" outlineLevel="0" collapsed="false">
      <c r="A35" s="0" t="s">
        <v>268</v>
      </c>
      <c r="B35" s="25" t="n">
        <f aca="false">INDEX(Forudsætninger!$D$41:$F$41,1,$B$2)</f>
        <v>0.22</v>
      </c>
    </row>
    <row r="36" customFormat="false" ht="15" hidden="false" customHeight="false" outlineLevel="0" collapsed="false">
      <c r="A36" s="0" t="s">
        <v>269</v>
      </c>
      <c r="B36" s="25" t="n">
        <f aca="false">INDEX(Forudsætninger!$D$42:$F$42,1,$B$2)</f>
        <v>0.25</v>
      </c>
    </row>
    <row r="37" customFormat="false" ht="15" hidden="false" customHeight="false" outlineLevel="0" collapsed="false">
      <c r="A37" s="0" t="s">
        <v>270</v>
      </c>
      <c r="B37" s="25" t="n">
        <f aca="false">INDEX(Forudsætninger!$D$43:$F$43,1,$B$2)</f>
        <v>0.08</v>
      </c>
    </row>
    <row r="39" customFormat="false" ht="15" hidden="false" customHeight="false" outlineLevel="0" collapsed="false">
      <c r="A39" s="9" t="s">
        <v>271</v>
      </c>
    </row>
    <row r="40" customFormat="false" ht="15" hidden="false" customHeight="false" outlineLevel="0" collapsed="false">
      <c r="A40" s="0" t="s">
        <v>272</v>
      </c>
      <c r="B40" s="24" t="n">
        <f aca="false">$B$5*$B$6</f>
        <v>20</v>
      </c>
    </row>
    <row r="41" customFormat="false" ht="15" hidden="false" customHeight="false" outlineLevel="0" collapsed="false">
      <c r="A41" s="0" t="s">
        <v>273</v>
      </c>
      <c r="B41" s="24" t="n">
        <f aca="false">$B$5*1000*$B$12+$B$5*$B$6*1000*$B$13</f>
        <v>7500000</v>
      </c>
    </row>
    <row r="42" customFormat="false" ht="15" hidden="false" customHeight="false" outlineLevel="0" collapsed="false">
      <c r="A42" s="0" t="s">
        <v>274</v>
      </c>
      <c r="B42" s="24" t="n">
        <f aca="false">B41+$B$14+$B$15</f>
        <v>8200000</v>
      </c>
    </row>
    <row r="43" customFormat="false" ht="15" hidden="false" customHeight="false" outlineLevel="0" collapsed="false">
      <c r="A43" s="0" t="s">
        <v>275</v>
      </c>
      <c r="B43" s="24" t="n">
        <f aca="false">B42/(B40*1000)</f>
        <v>410</v>
      </c>
    </row>
    <row r="44" customFormat="false" ht="15" hidden="false" customHeight="false" outlineLevel="0" collapsed="false">
      <c r="A44" s="0" t="s">
        <v>276</v>
      </c>
      <c r="B44" s="24" t="n">
        <f aca="false">B42/$B$5</f>
        <v>820000</v>
      </c>
    </row>
    <row r="45" customFormat="false" ht="15" hidden="false" customHeight="false" outlineLevel="0" collapsed="false">
      <c r="A45" s="0" t="s">
        <v>277</v>
      </c>
      <c r="B45" s="24" t="n">
        <f aca="false">INDEX(Backtest!$C$20:$C$22,MATCH($B$6,Backtest!$A$20:$A$22,0))</f>
        <v>82753.3745948472</v>
      </c>
    </row>
    <row r="46" customFormat="false" ht="15" hidden="false" customHeight="false" outlineLevel="0" collapsed="false">
      <c r="A46" s="0" t="s">
        <v>278</v>
      </c>
      <c r="B46" s="27" t="n">
        <f aca="false">INDEX(Backtest!$D$20:$D$22,MATCH($B$6,Backtest!$A$20:$A$22,0))</f>
        <v>778.812957155865</v>
      </c>
    </row>
    <row r="47" customFormat="false" ht="15" hidden="false" customHeight="false" outlineLevel="0" collapsed="false">
      <c r="A47" s="0" t="s">
        <v>279</v>
      </c>
      <c r="B47" s="26" t="n">
        <f aca="false">($B$23+$B$24+$B$25)*10/$B$28</f>
        <v>23.9946380697051</v>
      </c>
    </row>
    <row r="48" customFormat="false" ht="15" hidden="false" customHeight="false" outlineLevel="0" collapsed="false">
      <c r="A48" s="0" t="s">
        <v>280</v>
      </c>
      <c r="B48" s="26" t="n">
        <f aca="false">($B$26+$B$27)*10/$B$28</f>
        <v>1.90348525469169</v>
      </c>
    </row>
    <row r="50" customFormat="false" ht="15" hidden="false" customHeight="false" outlineLevel="0" collapsed="false">
      <c r="A50" s="9" t="s">
        <v>281</v>
      </c>
    </row>
    <row r="51" customFormat="false" ht="15" hidden="false" customHeight="false" outlineLevel="0" collapsed="false">
      <c r="A51" s="9" t="s">
        <v>282</v>
      </c>
      <c r="C51" s="28" t="n">
        <v>0</v>
      </c>
      <c r="D51" s="28" t="n">
        <v>1</v>
      </c>
      <c r="E51" s="28" t="n">
        <v>2</v>
      </c>
      <c r="F51" s="28" t="n">
        <v>3</v>
      </c>
      <c r="G51" s="28" t="n">
        <v>4</v>
      </c>
      <c r="H51" s="28" t="n">
        <v>5</v>
      </c>
      <c r="I51" s="28" t="n">
        <v>6</v>
      </c>
      <c r="J51" s="28" t="n">
        <v>7</v>
      </c>
      <c r="K51" s="28" t="n">
        <v>8</v>
      </c>
      <c r="L51" s="28" t="n">
        <v>9</v>
      </c>
      <c r="M51" s="28" t="n">
        <v>10</v>
      </c>
      <c r="N51" s="28" t="n">
        <v>11</v>
      </c>
      <c r="O51" s="28" t="n">
        <v>12</v>
      </c>
      <c r="P51" s="28" t="n">
        <v>13</v>
      </c>
      <c r="Q51" s="28" t="n">
        <v>14</v>
      </c>
      <c r="R51" s="28" t="n">
        <v>15</v>
      </c>
      <c r="S51" s="28" t="n">
        <v>16</v>
      </c>
      <c r="T51" s="28" t="n">
        <v>17</v>
      </c>
      <c r="U51" s="28" t="n">
        <v>18</v>
      </c>
      <c r="V51" s="28" t="n">
        <v>19</v>
      </c>
      <c r="W51" s="28" t="n">
        <v>20</v>
      </c>
    </row>
    <row r="52" customFormat="false" ht="15" hidden="false" customHeight="false" outlineLevel="0" collapsed="false">
      <c r="A52" s="29" t="s">
        <v>283</v>
      </c>
      <c r="C52" s="30"/>
      <c r="D52" s="30" t="n">
        <f aca="false">$B$7+D51-1</f>
        <v>2028</v>
      </c>
      <c r="E52" s="30" t="n">
        <f aca="false">$B$7+E51-1</f>
        <v>2029</v>
      </c>
      <c r="F52" s="30" t="n">
        <f aca="false">$B$7+F51-1</f>
        <v>2030</v>
      </c>
      <c r="G52" s="30" t="n">
        <f aca="false">$B$7+G51-1</f>
        <v>2031</v>
      </c>
      <c r="H52" s="30" t="n">
        <f aca="false">$B$7+H51-1</f>
        <v>2032</v>
      </c>
      <c r="I52" s="30" t="n">
        <f aca="false">$B$7+I51-1</f>
        <v>2033</v>
      </c>
      <c r="J52" s="30" t="n">
        <f aca="false">$B$7+J51-1</f>
        <v>2034</v>
      </c>
      <c r="K52" s="30" t="n">
        <f aca="false">$B$7+K51-1</f>
        <v>2035</v>
      </c>
      <c r="L52" s="30" t="n">
        <f aca="false">$B$7+L51-1</f>
        <v>2036</v>
      </c>
      <c r="M52" s="30" t="n">
        <f aca="false">$B$7+M51-1</f>
        <v>2037</v>
      </c>
      <c r="N52" s="30" t="n">
        <f aca="false">$B$7+N51-1</f>
        <v>2038</v>
      </c>
      <c r="O52" s="30" t="n">
        <f aca="false">$B$7+O51-1</f>
        <v>2039</v>
      </c>
      <c r="P52" s="30" t="n">
        <f aca="false">$B$7+P51-1</f>
        <v>2040</v>
      </c>
      <c r="Q52" s="30" t="n">
        <f aca="false">$B$7+Q51-1</f>
        <v>2041</v>
      </c>
      <c r="R52" s="30" t="n">
        <f aca="false">$B$7+R51-1</f>
        <v>2042</v>
      </c>
      <c r="S52" s="30" t="n">
        <f aca="false">$B$7+S51-1</f>
        <v>2043</v>
      </c>
      <c r="T52" s="30" t="n">
        <f aca="false">$B$7+T51-1</f>
        <v>2044</v>
      </c>
      <c r="U52" s="30" t="n">
        <f aca="false">$B$7+U51-1</f>
        <v>2045</v>
      </c>
      <c r="V52" s="30" t="n">
        <f aca="false">$B$7+V51-1</f>
        <v>2046</v>
      </c>
      <c r="W52" s="30" t="n">
        <f aca="false">$B$7+W51-1</f>
        <v>2047</v>
      </c>
    </row>
    <row r="53" customFormat="false" ht="15" hidden="false" customHeight="false" outlineLevel="0" collapsed="false">
      <c r="A53" s="29" t="s">
        <v>284</v>
      </c>
      <c r="C53" s="30" t="n">
        <v>0</v>
      </c>
      <c r="D53" s="30" t="n">
        <f aca="false">IF(D51&lt;=$B$8,1,0)</f>
        <v>1</v>
      </c>
      <c r="E53" s="30" t="n">
        <f aca="false">IF(E51&lt;=$B$8,1,0)</f>
        <v>1</v>
      </c>
      <c r="F53" s="30" t="n">
        <f aca="false">IF(F51&lt;=$B$8,1,0)</f>
        <v>1</v>
      </c>
      <c r="G53" s="30" t="n">
        <f aca="false">IF(G51&lt;=$B$8,1,0)</f>
        <v>1</v>
      </c>
      <c r="H53" s="30" t="n">
        <f aca="false">IF(H51&lt;=$B$8,1,0)</f>
        <v>1</v>
      </c>
      <c r="I53" s="30" t="n">
        <f aca="false">IF(I51&lt;=$B$8,1,0)</f>
        <v>1</v>
      </c>
      <c r="J53" s="30" t="n">
        <f aca="false">IF(J51&lt;=$B$8,1,0)</f>
        <v>1</v>
      </c>
      <c r="K53" s="30" t="n">
        <f aca="false">IF(K51&lt;=$B$8,1,0)</f>
        <v>1</v>
      </c>
      <c r="L53" s="30" t="n">
        <f aca="false">IF(L51&lt;=$B$8,1,0)</f>
        <v>1</v>
      </c>
      <c r="M53" s="30" t="n">
        <f aca="false">IF(M51&lt;=$B$8,1,0)</f>
        <v>1</v>
      </c>
      <c r="N53" s="30" t="n">
        <f aca="false">IF(N51&lt;=$B$8,1,0)</f>
        <v>1</v>
      </c>
      <c r="O53" s="30" t="n">
        <f aca="false">IF(O51&lt;=$B$8,1,0)</f>
        <v>1</v>
      </c>
      <c r="P53" s="30" t="n">
        <f aca="false">IF(P51&lt;=$B$8,1,0)</f>
        <v>1</v>
      </c>
      <c r="Q53" s="30" t="n">
        <f aca="false">IF(Q51&lt;=$B$8,1,0)</f>
        <v>1</v>
      </c>
      <c r="R53" s="30" t="n">
        <f aca="false">IF(R51&lt;=$B$8,1,0)</f>
        <v>1</v>
      </c>
      <c r="S53" s="30" t="n">
        <f aca="false">IF(S51&lt;=$B$8,1,0)</f>
        <v>0</v>
      </c>
      <c r="T53" s="30" t="n">
        <f aca="false">IF(T51&lt;=$B$8,1,0)</f>
        <v>0</v>
      </c>
      <c r="U53" s="30" t="n">
        <f aca="false">IF(U51&lt;=$B$8,1,0)</f>
        <v>0</v>
      </c>
      <c r="V53" s="30" t="n">
        <f aca="false">IF(V51&lt;=$B$8,1,0)</f>
        <v>0</v>
      </c>
      <c r="W53" s="30" t="n">
        <f aca="false">IF(W51&lt;=$B$8,1,0)</f>
        <v>0</v>
      </c>
    </row>
    <row r="54" customFormat="false" ht="15" hidden="false" customHeight="false" outlineLevel="0" collapsed="false">
      <c r="A54" s="29" t="s">
        <v>285</v>
      </c>
      <c r="C54" s="26" t="n">
        <v>1</v>
      </c>
      <c r="D54" s="26" t="n">
        <f aca="false">(1+$B$34)^(D52-2026)</f>
        <v>1.0404</v>
      </c>
      <c r="E54" s="26" t="n">
        <f aca="false">(1+$B$34)^(E52-2026)</f>
        <v>1.061208</v>
      </c>
      <c r="F54" s="26" t="n">
        <f aca="false">(1+$B$34)^(F52-2026)</f>
        <v>1.08243216</v>
      </c>
      <c r="G54" s="26" t="n">
        <f aca="false">(1+$B$34)^(G52-2026)</f>
        <v>1.1040808032</v>
      </c>
      <c r="H54" s="26" t="n">
        <f aca="false">(1+$B$34)^(H52-2026)</f>
        <v>1.126162419264</v>
      </c>
      <c r="I54" s="26" t="n">
        <f aca="false">(1+$B$34)^(I52-2026)</f>
        <v>1.14868566764928</v>
      </c>
      <c r="J54" s="26" t="n">
        <f aca="false">(1+$B$34)^(J52-2026)</f>
        <v>1.17165938100227</v>
      </c>
      <c r="K54" s="26" t="n">
        <f aca="false">(1+$B$34)^(K52-2026)</f>
        <v>1.19509256862231</v>
      </c>
      <c r="L54" s="26" t="n">
        <f aca="false">(1+$B$34)^(L52-2026)</f>
        <v>1.21899441999476</v>
      </c>
      <c r="M54" s="26" t="n">
        <f aca="false">(1+$B$34)^(M52-2026)</f>
        <v>1.24337430839465</v>
      </c>
      <c r="N54" s="26" t="n">
        <f aca="false">(1+$B$34)^(N52-2026)</f>
        <v>1.26824179456255</v>
      </c>
      <c r="O54" s="26" t="n">
        <f aca="false">(1+$B$34)^(O52-2026)</f>
        <v>1.2936066304538</v>
      </c>
      <c r="P54" s="26" t="n">
        <f aca="false">(1+$B$34)^(P52-2026)</f>
        <v>1.31947876306287</v>
      </c>
      <c r="Q54" s="26" t="n">
        <f aca="false">(1+$B$34)^(Q52-2026)</f>
        <v>1.34586833832413</v>
      </c>
      <c r="R54" s="26" t="n">
        <f aca="false">(1+$B$34)^(R52-2026)</f>
        <v>1.37278570509061</v>
      </c>
      <c r="S54" s="26" t="n">
        <f aca="false">(1+$B$34)^(S52-2026)</f>
        <v>1.40024141919242</v>
      </c>
      <c r="T54" s="26" t="n">
        <f aca="false">(1+$B$34)^(T52-2026)</f>
        <v>1.42824624757627</v>
      </c>
      <c r="U54" s="26" t="n">
        <f aca="false">(1+$B$34)^(U52-2026)</f>
        <v>1.4568111725278</v>
      </c>
      <c r="V54" s="26" t="n">
        <f aca="false">(1+$B$34)^(V52-2026)</f>
        <v>1.48594739597836</v>
      </c>
      <c r="W54" s="26" t="n">
        <f aca="false">(1+$B$34)^(W52-2026)</f>
        <v>1.51566634389792</v>
      </c>
    </row>
    <row r="55" customFormat="false" ht="15" hidden="false" customHeight="false" outlineLevel="0" collapsed="false">
      <c r="A55" s="29" t="s">
        <v>286</v>
      </c>
      <c r="C55" s="26" t="n">
        <v>1</v>
      </c>
      <c r="D55" s="26" t="n">
        <f aca="false">(1-$B$10)^(D51-1)</f>
        <v>1</v>
      </c>
      <c r="E55" s="26" t="n">
        <f aca="false">(1-$B$10)^(E51-1)</f>
        <v>0.975</v>
      </c>
      <c r="F55" s="26" t="n">
        <f aca="false">(1-$B$10)^(F51-1)</f>
        <v>0.950625</v>
      </c>
      <c r="G55" s="26" t="n">
        <f aca="false">(1-$B$10)^(G51-1)</f>
        <v>0.926859375</v>
      </c>
      <c r="H55" s="26" t="n">
        <f aca="false">(1-$B$10)^(H51-1)</f>
        <v>0.903687890625</v>
      </c>
      <c r="I55" s="26" t="n">
        <f aca="false">(1-$B$10)^(I51-1)</f>
        <v>0.881095693359375</v>
      </c>
      <c r="J55" s="26" t="n">
        <f aca="false">(1-$B$10)^(J51-1)</f>
        <v>0.859068301025391</v>
      </c>
      <c r="K55" s="26" t="n">
        <f aca="false">(1-$B$10)^(K51-1)</f>
        <v>0.837591593499756</v>
      </c>
      <c r="L55" s="26" t="n">
        <f aca="false">(1-$B$10)^(L51-1)</f>
        <v>0.816651803662262</v>
      </c>
      <c r="M55" s="26" t="n">
        <f aca="false">(1-$B$10)^(M51-1)</f>
        <v>0.796235508570705</v>
      </c>
      <c r="N55" s="26" t="n">
        <f aca="false">(1-$B$10)^(N51-1)</f>
        <v>0.776329620856438</v>
      </c>
      <c r="O55" s="26" t="n">
        <f aca="false">(1-$B$10)^(O51-1)</f>
        <v>0.756921380335027</v>
      </c>
      <c r="P55" s="26" t="n">
        <f aca="false">(1-$B$10)^(P51-1)</f>
        <v>0.737998345826651</v>
      </c>
      <c r="Q55" s="26" t="n">
        <f aca="false">(1-$B$10)^(Q51-1)</f>
        <v>0.719548387180985</v>
      </c>
      <c r="R55" s="26" t="n">
        <f aca="false">(1-$B$10)^(R51-1)</f>
        <v>0.70155967750146</v>
      </c>
      <c r="S55" s="26" t="n">
        <f aca="false">(1-$B$10)^(S51-1)</f>
        <v>0.684020685563924</v>
      </c>
      <c r="T55" s="26" t="n">
        <f aca="false">(1-$B$10)^(T51-1)</f>
        <v>0.666920168424825</v>
      </c>
      <c r="U55" s="26" t="n">
        <f aca="false">(1-$B$10)^(U51-1)</f>
        <v>0.650247164214205</v>
      </c>
      <c r="V55" s="26" t="n">
        <f aca="false">(1-$B$10)^(V51-1)</f>
        <v>0.63399098510885</v>
      </c>
      <c r="W55" s="26" t="n">
        <f aca="false">(1-$B$10)^(W51-1)</f>
        <v>0.618141210481128</v>
      </c>
    </row>
    <row r="56" customFormat="false" ht="15" hidden="false" customHeight="false" outlineLevel="0" collapsed="false">
      <c r="A56" s="29" t="s">
        <v>287</v>
      </c>
      <c r="C56" s="24" t="n">
        <v>0</v>
      </c>
      <c r="D56" s="24" t="n">
        <f aca="false">$B$5*$B$45*$B$16*$B$17*(1+$B$18)*(1+$B$19)^(D51-1)*D55*$B$9*D54*D53</f>
        <v>489442.013806218</v>
      </c>
      <c r="E56" s="24" t="n">
        <f aca="false">$B$5*$B$45*$B$16*$B$17*(1+$B$18)*(1+$B$19)^(E51-1)*E55*$B$9*E54*E53</f>
        <v>472147.580248375</v>
      </c>
      <c r="F56" s="24" t="n">
        <f aca="false">$B$5*$B$45*$B$16*$B$17*(1+$B$18)*(1+$B$19)^(F51-1)*F55*$B$9*F54*F53</f>
        <v>455464.245500299</v>
      </c>
      <c r="G56" s="24" t="n">
        <f aca="false">$B$5*$B$45*$B$16*$B$17*(1+$B$18)*(1+$B$19)^(G51-1)*G55*$B$9*G54*G53</f>
        <v>439370.416385546</v>
      </c>
      <c r="H56" s="24" t="n">
        <f aca="false">$B$5*$B$45*$B$16*$B$17*(1+$B$18)*(1+$B$19)^(H51-1)*H55*$B$9*H54*H53</f>
        <v>423845.262722562</v>
      </c>
      <c r="I56" s="24" t="n">
        <f aca="false">$B$5*$B$45*$B$16*$B$17*(1+$B$18)*(1+$B$19)^(I51-1)*I55*$B$9*I54*I53</f>
        <v>408868.690364261</v>
      </c>
      <c r="J56" s="24" t="n">
        <f aca="false">$B$5*$B$45*$B$16*$B$17*(1+$B$18)*(1+$B$19)^(J51-1)*J55*$B$9*J54*J53</f>
        <v>394421.315190239</v>
      </c>
      <c r="K56" s="24" t="n">
        <f aca="false">$B$5*$B$45*$B$16*$B$17*(1+$B$18)*(1+$B$19)^(K51-1)*K55*$B$9*K54*K53</f>
        <v>380484.438017992</v>
      </c>
      <c r="L56" s="24" t="n">
        <f aca="false">$B$5*$B$45*$B$16*$B$17*(1+$B$18)*(1+$B$19)^(L51-1)*L55*$B$9*L54*L53</f>
        <v>367040.020400627</v>
      </c>
      <c r="M56" s="24" t="n">
        <f aca="false">$B$5*$B$45*$B$16*$B$17*(1+$B$18)*(1+$B$19)^(M51-1)*M55*$B$9*M54*M53</f>
        <v>354070.66127977</v>
      </c>
      <c r="N56" s="24" t="n">
        <f aca="false">$B$5*$B$45*$B$16*$B$17*(1+$B$18)*(1+$B$19)^(N51-1)*N55*$B$9*N54*N53</f>
        <v>341559.57446345</v>
      </c>
      <c r="O56" s="24" t="n">
        <f aca="false">$B$5*$B$45*$B$16*$B$17*(1+$B$18)*(1+$B$19)^(O51-1)*O55*$B$9*O54*O53</f>
        <v>329490.566899784</v>
      </c>
      <c r="P56" s="24" t="n">
        <f aca="false">$B$5*$B$45*$B$16*$B$17*(1+$B$18)*(1+$B$19)^(P51-1)*P55*$B$9*P54*P53</f>
        <v>317848.01771838</v>
      </c>
      <c r="Q56" s="24" t="n">
        <f aca="false">$B$5*$B$45*$B$16*$B$17*(1+$B$18)*(1+$B$19)^(Q51-1)*Q55*$B$9*Q54*Q53</f>
        <v>306616.858012301</v>
      </c>
      <c r="R56" s="24" t="n">
        <f aca="false">$B$5*$B$45*$B$16*$B$17*(1+$B$18)*(1+$B$19)^(R51-1)*R55*$B$9*R54*R53</f>
        <v>295782.551334436</v>
      </c>
      <c r="S56" s="24" t="n">
        <f aca="false">$B$5*$B$45*$B$16*$B$17*(1+$B$18)*(1+$B$19)^(S51-1)*S55*$B$9*S54*S53</f>
        <v>0</v>
      </c>
      <c r="T56" s="24" t="n">
        <f aca="false">$B$5*$B$45*$B$16*$B$17*(1+$B$18)*(1+$B$19)^(T51-1)*T55*$B$9*T54*T53</f>
        <v>0</v>
      </c>
      <c r="U56" s="24" t="n">
        <f aca="false">$B$5*$B$45*$B$16*$B$17*(1+$B$18)*(1+$B$19)^(U51-1)*U55*$B$9*U54*U53</f>
        <v>0</v>
      </c>
      <c r="V56" s="24" t="n">
        <f aca="false">$B$5*$B$45*$B$16*$B$17*(1+$B$18)*(1+$B$19)^(V51-1)*V55*$B$9*V54*V53</f>
        <v>0</v>
      </c>
      <c r="W56" s="24" t="n">
        <f aca="false">$B$5*$B$45*$B$16*$B$17*(1+$B$18)*(1+$B$19)^(W51-1)*W55*$B$9*W54*W53</f>
        <v>0</v>
      </c>
    </row>
    <row r="57" customFormat="false" ht="15" hidden="false" customHeight="false" outlineLevel="0" collapsed="false">
      <c r="A57" s="29" t="s">
        <v>288</v>
      </c>
      <c r="C57" s="24" t="n">
        <v>0</v>
      </c>
      <c r="D57" s="24" t="n">
        <f aca="false">$B$5*MAX($B$20*(1+$B$21)^(D51-1),$B$22)*$B$9*D54*D53</f>
        <v>132651</v>
      </c>
      <c r="E57" s="24" t="n">
        <f aca="false">$B$5*MAX($B$20*(1+$B$21)^(E51-1),$B$22)*$B$9*E54*E53</f>
        <v>115008.417</v>
      </c>
      <c r="F57" s="24" t="n">
        <f aca="false">$B$5*MAX($B$20*(1+$B$21)^(F51-1),$B$22)*$B$9*F54*F53</f>
        <v>99712.297539</v>
      </c>
      <c r="G57" s="24" t="n">
        <f aca="false">$B$5*MAX($B$20*(1+$B$21)^(G51-1),$B$22)*$B$9*G54*G53</f>
        <v>86450.561966313</v>
      </c>
      <c r="H57" s="24" t="n">
        <f aca="false">$B$5*MAX($B$20*(1+$B$21)^(H51-1),$B$22)*$B$9*H54*H53</f>
        <v>74952.6372247934</v>
      </c>
      <c r="I57" s="24" t="n">
        <f aca="false">$B$5*MAX($B$20*(1+$B$21)^(I51-1),$B$22)*$B$9*I54*I53</f>
        <v>64983.9364738959</v>
      </c>
      <c r="J57" s="24" t="n">
        <f aca="false">$B$5*MAX($B$20*(1+$B$21)^(J51-1),$B$22)*$B$9*J54*J53</f>
        <v>56341.0729228677</v>
      </c>
      <c r="K57" s="24" t="n">
        <f aca="false">$B$5*MAX($B$20*(1+$B$21)^(K51-1),$B$22)*$B$9*K54*K53</f>
        <v>48847.7102241263</v>
      </c>
      <c r="L57" s="24" t="n">
        <f aca="false">$B$5*MAX($B$20*(1+$B$21)^(L51-1),$B$22)*$B$9*L54*L53</f>
        <v>42350.9647643175</v>
      </c>
      <c r="M57" s="24" t="n">
        <f aca="false">$B$5*MAX($B$20*(1+$B$21)^(M51-1),$B$22)*$B$9*M54*M53</f>
        <v>36718.2864506633</v>
      </c>
      <c r="N57" s="24" t="n">
        <f aca="false">$B$5*MAX($B$20*(1+$B$21)^(N51-1),$B$22)*$B$9*N54*N53</f>
        <v>31834.7543527251</v>
      </c>
      <c r="O57" s="24" t="n">
        <f aca="false">$B$5*MAX($B$20*(1+$B$21)^(O51-1),$B$22)*$B$9*O54*O53</f>
        <v>27600.7320238126</v>
      </c>
      <c r="P57" s="24" t="n">
        <f aca="false">$B$5*MAX($B$20*(1+$B$21)^(P51-1),$B$22)*$B$9*P54*P53</f>
        <v>23929.8346646455</v>
      </c>
      <c r="Q57" s="24" t="n">
        <f aca="false">$B$5*MAX($B$20*(1+$B$21)^(Q51-1),$B$22)*$B$9*Q54*Q53</f>
        <v>20747.1666542477</v>
      </c>
      <c r="R57" s="24" t="n">
        <f aca="false">$B$5*MAX($B$20*(1+$B$21)^(R51-1),$B$22)*$B$9*R54*R53</f>
        <v>17987.7934892327</v>
      </c>
      <c r="S57" s="24" t="n">
        <f aca="false">$B$5*MAX($B$20*(1+$B$21)^(S51-1),$B$22)*$B$9*S54*S53</f>
        <v>0</v>
      </c>
      <c r="T57" s="24" t="n">
        <f aca="false">$B$5*MAX($B$20*(1+$B$21)^(T51-1),$B$22)*$B$9*T54*T53</f>
        <v>0</v>
      </c>
      <c r="U57" s="24" t="n">
        <f aca="false">$B$5*MAX($B$20*(1+$B$21)^(U51-1),$B$22)*$B$9*U54*U53</f>
        <v>0</v>
      </c>
      <c r="V57" s="24" t="n">
        <f aca="false">$B$5*MAX($B$20*(1+$B$21)^(V51-1),$B$22)*$B$9*V54*V53</f>
        <v>0</v>
      </c>
      <c r="W57" s="24" t="n">
        <f aca="false">$B$5*MAX($B$20*(1+$B$21)^(W51-1),$B$22)*$B$9*W54*W53</f>
        <v>0</v>
      </c>
    </row>
    <row r="58" customFormat="false" ht="15" hidden="false" customHeight="false" outlineLevel="0" collapsed="false">
      <c r="A58" s="9" t="s">
        <v>289</v>
      </c>
      <c r="C58" s="31" t="n">
        <f aca="false">C56+C57</f>
        <v>0</v>
      </c>
      <c r="D58" s="31" t="n">
        <f aca="false">D56+D57</f>
        <v>622093.013806218</v>
      </c>
      <c r="E58" s="31" t="n">
        <f aca="false">E56+E57</f>
        <v>587155.997248375</v>
      </c>
      <c r="F58" s="31" t="n">
        <f aca="false">F56+F57</f>
        <v>555176.543039299</v>
      </c>
      <c r="G58" s="31" t="n">
        <f aca="false">G56+G57</f>
        <v>525820.978351859</v>
      </c>
      <c r="H58" s="31" t="n">
        <f aca="false">H56+H57</f>
        <v>498797.899947356</v>
      </c>
      <c r="I58" s="31" t="n">
        <f aca="false">I56+I57</f>
        <v>473852.626838156</v>
      </c>
      <c r="J58" s="31" t="n">
        <f aca="false">J56+J57</f>
        <v>450762.388113107</v>
      </c>
      <c r="K58" s="31" t="n">
        <f aca="false">K56+K57</f>
        <v>429332.148242119</v>
      </c>
      <c r="L58" s="31" t="n">
        <f aca="false">L56+L57</f>
        <v>409390.985164944</v>
      </c>
      <c r="M58" s="31" t="n">
        <f aca="false">M56+M57</f>
        <v>390788.947730434</v>
      </c>
      <c r="N58" s="31" t="n">
        <f aca="false">N56+N57</f>
        <v>373394.328816175</v>
      </c>
      <c r="O58" s="31" t="n">
        <f aca="false">O56+O57</f>
        <v>357091.298923596</v>
      </c>
      <c r="P58" s="31" t="n">
        <f aca="false">P56+P57</f>
        <v>341777.852383025</v>
      </c>
      <c r="Q58" s="31" t="n">
        <f aca="false">Q56+Q57</f>
        <v>327364.024666549</v>
      </c>
      <c r="R58" s="31" t="n">
        <f aca="false">R56+R57</f>
        <v>313770.344823669</v>
      </c>
      <c r="S58" s="31" t="n">
        <f aca="false">S56+S57</f>
        <v>0</v>
      </c>
      <c r="T58" s="31" t="n">
        <f aca="false">T56+T57</f>
        <v>0</v>
      </c>
      <c r="U58" s="31" t="n">
        <f aca="false">U56+U57</f>
        <v>0</v>
      </c>
      <c r="V58" s="31" t="n">
        <f aca="false">V56+V57</f>
        <v>0</v>
      </c>
      <c r="W58" s="31" t="n">
        <f aca="false">W56+W57</f>
        <v>0</v>
      </c>
    </row>
    <row r="59" customFormat="false" ht="15" hidden="false" customHeight="false" outlineLevel="0" collapsed="false">
      <c r="A59" s="29" t="s">
        <v>290</v>
      </c>
      <c r="C59" s="24" t="n">
        <v>0</v>
      </c>
      <c r="D59" s="24" t="n">
        <f aca="false">-$B$5*$B$46*D55*$B$9*($B$47/$B$11+$B$48)*D54*D53</f>
        <v>-205272.278457159</v>
      </c>
      <c r="E59" s="24" t="n">
        <f aca="false">-$B$5*$B$46*E55*$B$9*($B$47/$B$11+$B$48)*E54*E53</f>
        <v>-204143.280925645</v>
      </c>
      <c r="F59" s="24" t="n">
        <f aca="false">-$B$5*$B$46*F55*$B$9*($B$47/$B$11+$B$48)*F54*F53</f>
        <v>-203020.492880554</v>
      </c>
      <c r="G59" s="24" t="n">
        <f aca="false">-$B$5*$B$46*G55*$B$9*($B$47/$B$11+$B$48)*G54*G53</f>
        <v>-201903.880169711</v>
      </c>
      <c r="H59" s="24" t="n">
        <f aca="false">-$B$5*$B$46*H55*$B$9*($B$47/$B$11+$B$48)*H54*H53</f>
        <v>-200793.408828777</v>
      </c>
      <c r="I59" s="24" t="n">
        <f aca="false">-$B$5*$B$46*I55*$B$9*($B$47/$B$11+$B$48)*I54*I53</f>
        <v>-199689.045080219</v>
      </c>
      <c r="J59" s="24" t="n">
        <f aca="false">-$B$5*$B$46*J55*$B$9*($B$47/$B$11+$B$48)*J54*J53</f>
        <v>-198590.755332278</v>
      </c>
      <c r="K59" s="24" t="n">
        <f aca="false">-$B$5*$B$46*K55*$B$9*($B$47/$B$11+$B$48)*K54*K53</f>
        <v>-197498.50617795</v>
      </c>
      <c r="L59" s="24" t="n">
        <f aca="false">-$B$5*$B$46*L55*$B$9*($B$47/$B$11+$B$48)*L54*L53</f>
        <v>-196412.264393972</v>
      </c>
      <c r="M59" s="24" t="n">
        <f aca="false">-$B$5*$B$46*M55*$B$9*($B$47/$B$11+$B$48)*M54*M53</f>
        <v>-195331.996939805</v>
      </c>
      <c r="N59" s="24" t="n">
        <f aca="false">-$B$5*$B$46*N55*$B$9*($B$47/$B$11+$B$48)*N54*N53</f>
        <v>-194257.670956636</v>
      </c>
      <c r="O59" s="24" t="n">
        <f aca="false">-$B$5*$B$46*O55*$B$9*($B$47/$B$11+$B$48)*O54*O53</f>
        <v>-193189.253766375</v>
      </c>
      <c r="P59" s="24" t="n">
        <f aca="false">-$B$5*$B$46*P55*$B$9*($B$47/$B$11+$B$48)*P54*P53</f>
        <v>-192126.712870659</v>
      </c>
      <c r="Q59" s="24" t="n">
        <f aca="false">-$B$5*$B$46*Q55*$B$9*($B$47/$B$11+$B$48)*Q54*Q53</f>
        <v>-191070.015949871</v>
      </c>
      <c r="R59" s="24" t="n">
        <f aca="false">-$B$5*$B$46*R55*$B$9*($B$47/$B$11+$B$48)*R54*R53</f>
        <v>-190019.130862147</v>
      </c>
      <c r="S59" s="24" t="n">
        <f aca="false">-$B$5*$B$46*S55*$B$9*($B$47/$B$11+$B$48)*S54*S53</f>
        <v>-0</v>
      </c>
      <c r="T59" s="24" t="n">
        <f aca="false">-$B$5*$B$46*T55*$B$9*($B$47/$B$11+$B$48)*T54*T53</f>
        <v>-0</v>
      </c>
      <c r="U59" s="24" t="n">
        <f aca="false">-$B$5*$B$46*U55*$B$9*($B$47/$B$11+$B$48)*U54*U53</f>
        <v>-0</v>
      </c>
      <c r="V59" s="24" t="n">
        <f aca="false">-$B$5*$B$46*V55*$B$9*($B$47/$B$11+$B$48)*V54*V53</f>
        <v>-0</v>
      </c>
      <c r="W59" s="24" t="n">
        <f aca="false">-$B$5*$B$46*W55*$B$9*($B$47/$B$11+$B$48)*W54*W53</f>
        <v>-0</v>
      </c>
    </row>
    <row r="60" customFormat="false" ht="15" hidden="false" customHeight="false" outlineLevel="0" collapsed="false">
      <c r="A60" s="29" t="s">
        <v>291</v>
      </c>
      <c r="C60" s="24" t="n">
        <v>0</v>
      </c>
      <c r="D60" s="24" t="n">
        <f aca="false">-($B$29+$B$30)*$B$41*D54*D53</f>
        <v>-195075</v>
      </c>
      <c r="E60" s="24" t="n">
        <f aca="false">-($B$29+$B$30)*$B$41*E54*E53</f>
        <v>-198976.5</v>
      </c>
      <c r="F60" s="24" t="n">
        <f aca="false">-($B$29+$B$30)*$B$41*F54*F53</f>
        <v>-202956.03</v>
      </c>
      <c r="G60" s="24" t="n">
        <f aca="false">-($B$29+$B$30)*$B$41*G54*G53</f>
        <v>-207015.1506</v>
      </c>
      <c r="H60" s="24" t="n">
        <f aca="false">-($B$29+$B$30)*$B$41*H54*H53</f>
        <v>-211155.453612</v>
      </c>
      <c r="I60" s="24" t="n">
        <f aca="false">-($B$29+$B$30)*$B$41*I54*I53</f>
        <v>-215378.56268424</v>
      </c>
      <c r="J60" s="24" t="n">
        <f aca="false">-($B$29+$B$30)*$B$41*J54*J53</f>
        <v>-219686.133937925</v>
      </c>
      <c r="K60" s="24" t="n">
        <f aca="false">-($B$29+$B$30)*$B$41*K54*K53</f>
        <v>-224079.856616683</v>
      </c>
      <c r="L60" s="24" t="n">
        <f aca="false">-($B$29+$B$30)*$B$41*L54*L53</f>
        <v>-228561.453749017</v>
      </c>
      <c r="M60" s="24" t="n">
        <f aca="false">-($B$29+$B$30)*$B$41*M54*M53</f>
        <v>-233132.682823997</v>
      </c>
      <c r="N60" s="24" t="n">
        <f aca="false">-($B$29+$B$30)*$B$41*N54*N53</f>
        <v>-237795.336480477</v>
      </c>
      <c r="O60" s="24" t="n">
        <f aca="false">-($B$29+$B$30)*$B$41*O54*O53</f>
        <v>-242551.243210087</v>
      </c>
      <c r="P60" s="24" t="n">
        <f aca="false">-($B$29+$B$30)*$B$41*P54*P53</f>
        <v>-247402.268074289</v>
      </c>
      <c r="Q60" s="24" t="n">
        <f aca="false">-($B$29+$B$30)*$B$41*Q54*Q53</f>
        <v>-252350.313435774</v>
      </c>
      <c r="R60" s="24" t="n">
        <f aca="false">-($B$29+$B$30)*$B$41*R54*R53</f>
        <v>-257397.31970449</v>
      </c>
      <c r="S60" s="24" t="n">
        <f aca="false">-($B$29+$B$30)*$B$41*S54*S53</f>
        <v>-0</v>
      </c>
      <c r="T60" s="24" t="n">
        <f aca="false">-($B$29+$B$30)*$B$41*T54*T53</f>
        <v>-0</v>
      </c>
      <c r="U60" s="24" t="n">
        <f aca="false">-($B$29+$B$30)*$B$41*U54*U53</f>
        <v>-0</v>
      </c>
      <c r="V60" s="24" t="n">
        <f aca="false">-($B$29+$B$30)*$B$41*V54*V53</f>
        <v>-0</v>
      </c>
      <c r="W60" s="24" t="n">
        <f aca="false">-($B$29+$B$30)*$B$41*W54*W53</f>
        <v>-0</v>
      </c>
    </row>
    <row r="61" customFormat="false" ht="15" hidden="false" customHeight="false" outlineLevel="0" collapsed="false">
      <c r="A61" s="29" t="s">
        <v>292</v>
      </c>
      <c r="C61" s="24" t="n">
        <f aca="false">-$B$31*C58</f>
        <v>-0</v>
      </c>
      <c r="D61" s="24" t="n">
        <f aca="false">-$B$31*D58</f>
        <v>-93313.9520709327</v>
      </c>
      <c r="E61" s="24" t="n">
        <f aca="false">-$B$31*E58</f>
        <v>-88073.3995872563</v>
      </c>
      <c r="F61" s="24" t="n">
        <f aca="false">-$B$31*F58</f>
        <v>-83276.4814558948</v>
      </c>
      <c r="G61" s="24" t="n">
        <f aca="false">-$B$31*G58</f>
        <v>-78873.1467527788</v>
      </c>
      <c r="H61" s="24" t="n">
        <f aca="false">-$B$31*H58</f>
        <v>-74819.6849921033</v>
      </c>
      <c r="I61" s="24" t="n">
        <f aca="false">-$B$31*I58</f>
        <v>-71077.8940257235</v>
      </c>
      <c r="J61" s="24" t="n">
        <f aca="false">-$B$31*J58</f>
        <v>-67614.3582169661</v>
      </c>
      <c r="K61" s="24" t="n">
        <f aca="false">-$B$31*K58</f>
        <v>-64399.8222363178</v>
      </c>
      <c r="L61" s="24" t="n">
        <f aca="false">-$B$31*L58</f>
        <v>-61408.6477747416</v>
      </c>
      <c r="M61" s="24" t="n">
        <f aca="false">-$B$31*M58</f>
        <v>-58618.3421595651</v>
      </c>
      <c r="N61" s="24" t="n">
        <f aca="false">-$B$31*N58</f>
        <v>-56009.1493224262</v>
      </c>
      <c r="O61" s="24" t="n">
        <f aca="false">-$B$31*O58</f>
        <v>-53563.6948385394</v>
      </c>
      <c r="P61" s="24" t="n">
        <f aca="false">-$B$31*P58</f>
        <v>-51266.6778574538</v>
      </c>
      <c r="Q61" s="24" t="n">
        <f aca="false">-$B$31*Q58</f>
        <v>-49104.6036999823</v>
      </c>
      <c r="R61" s="24" t="n">
        <f aca="false">-$B$31*R58</f>
        <v>-47065.5517235503</v>
      </c>
      <c r="S61" s="24" t="n">
        <f aca="false">-$B$31*S58</f>
        <v>-0</v>
      </c>
      <c r="T61" s="24" t="n">
        <f aca="false">-$B$31*T58</f>
        <v>-0</v>
      </c>
      <c r="U61" s="24" t="n">
        <f aca="false">-$B$31*U58</f>
        <v>-0</v>
      </c>
      <c r="V61" s="24" t="n">
        <f aca="false">-$B$31*V58</f>
        <v>-0</v>
      </c>
      <c r="W61" s="24" t="n">
        <f aca="false">-$B$31*W58</f>
        <v>-0</v>
      </c>
    </row>
    <row r="62" customFormat="false" ht="15" hidden="false" customHeight="false" outlineLevel="0" collapsed="false">
      <c r="A62" s="29" t="s">
        <v>293</v>
      </c>
      <c r="C62" s="24" t="n">
        <v>0</v>
      </c>
      <c r="D62" s="24" t="n">
        <f aca="false">-$B$32*$B$5*D54*D53</f>
        <v>-104040</v>
      </c>
      <c r="E62" s="24" t="n">
        <f aca="false">-$B$32*$B$5*E54*E53</f>
        <v>-106120.8</v>
      </c>
      <c r="F62" s="24" t="n">
        <f aca="false">-$B$32*$B$5*F54*F53</f>
        <v>-108243.216</v>
      </c>
      <c r="G62" s="24" t="n">
        <f aca="false">-$B$32*$B$5*G54*G53</f>
        <v>-110408.08032</v>
      </c>
      <c r="H62" s="24" t="n">
        <f aca="false">-$B$32*$B$5*H54*H53</f>
        <v>-112616.2419264</v>
      </c>
      <c r="I62" s="24" t="n">
        <f aca="false">-$B$32*$B$5*I54*I53</f>
        <v>-114868.566764928</v>
      </c>
      <c r="J62" s="24" t="n">
        <f aca="false">-$B$32*$B$5*J54*J53</f>
        <v>-117165.938100227</v>
      </c>
      <c r="K62" s="24" t="n">
        <f aca="false">-$B$32*$B$5*K54*K53</f>
        <v>-119509.256862231</v>
      </c>
      <c r="L62" s="24" t="n">
        <f aca="false">-$B$32*$B$5*L54*L53</f>
        <v>-121899.441999476</v>
      </c>
      <c r="M62" s="24" t="n">
        <f aca="false">-$B$32*$B$5*M54*M53</f>
        <v>-124337.430839465</v>
      </c>
      <c r="N62" s="24" t="n">
        <f aca="false">-$B$32*$B$5*N54*N53</f>
        <v>-126824.179456255</v>
      </c>
      <c r="O62" s="24" t="n">
        <f aca="false">-$B$32*$B$5*O54*O53</f>
        <v>-129360.66304538</v>
      </c>
      <c r="P62" s="24" t="n">
        <f aca="false">-$B$32*$B$5*P54*P53</f>
        <v>-131947.876306287</v>
      </c>
      <c r="Q62" s="24" t="n">
        <f aca="false">-$B$32*$B$5*Q54*Q53</f>
        <v>-134586.833832413</v>
      </c>
      <c r="R62" s="24" t="n">
        <f aca="false">-$B$32*$B$5*R54*R53</f>
        <v>-137278.570509061</v>
      </c>
      <c r="S62" s="24" t="n">
        <f aca="false">-$B$32*$B$5*S54*S53</f>
        <v>-0</v>
      </c>
      <c r="T62" s="24" t="n">
        <f aca="false">-$B$32*$B$5*T54*T53</f>
        <v>-0</v>
      </c>
      <c r="U62" s="24" t="n">
        <f aca="false">-$B$32*$B$5*U54*U53</f>
        <v>-0</v>
      </c>
      <c r="V62" s="24" t="n">
        <f aca="false">-$B$32*$B$5*V54*V53</f>
        <v>-0</v>
      </c>
      <c r="W62" s="24" t="n">
        <f aca="false">-$B$32*$B$5*W54*W53</f>
        <v>-0</v>
      </c>
    </row>
    <row r="63" customFormat="false" ht="15" hidden="false" customHeight="false" outlineLevel="0" collapsed="false">
      <c r="A63" s="29" t="s">
        <v>294</v>
      </c>
      <c r="C63" s="24" t="n">
        <v>0</v>
      </c>
      <c r="D63" s="24" t="n">
        <f aca="false">-$B$33*D54*D53</f>
        <v>-62424</v>
      </c>
      <c r="E63" s="24" t="n">
        <f aca="false">-$B$33*E54*E53</f>
        <v>-63672.48</v>
      </c>
      <c r="F63" s="24" t="n">
        <f aca="false">-$B$33*F54*F53</f>
        <v>-64945.9296</v>
      </c>
      <c r="G63" s="24" t="n">
        <f aca="false">-$B$33*G54*G53</f>
        <v>-66244.848192</v>
      </c>
      <c r="H63" s="24" t="n">
        <f aca="false">-$B$33*H54*H53</f>
        <v>-67569.74515584</v>
      </c>
      <c r="I63" s="24" t="n">
        <f aca="false">-$B$33*I54*I53</f>
        <v>-68921.1400589568</v>
      </c>
      <c r="J63" s="24" t="n">
        <f aca="false">-$B$33*J54*J53</f>
        <v>-70299.562860136</v>
      </c>
      <c r="K63" s="24" t="n">
        <f aca="false">-$B$33*K54*K53</f>
        <v>-71705.5541173387</v>
      </c>
      <c r="L63" s="24" t="n">
        <f aca="false">-$B$33*L54*L53</f>
        <v>-73139.6651996854</v>
      </c>
      <c r="M63" s="24" t="n">
        <f aca="false">-$B$33*M54*M53</f>
        <v>-74602.4585036792</v>
      </c>
      <c r="N63" s="24" t="n">
        <f aca="false">-$B$33*N54*N53</f>
        <v>-76094.5076737527</v>
      </c>
      <c r="O63" s="24" t="n">
        <f aca="false">-$B$33*O54*O53</f>
        <v>-77616.3978272278</v>
      </c>
      <c r="P63" s="24" t="n">
        <f aca="false">-$B$33*P54*P53</f>
        <v>-79168.7257837723</v>
      </c>
      <c r="Q63" s="24" t="n">
        <f aca="false">-$B$33*Q54*Q53</f>
        <v>-80752.1002994478</v>
      </c>
      <c r="R63" s="24" t="n">
        <f aca="false">-$B$33*R54*R53</f>
        <v>-82367.1423054368</v>
      </c>
      <c r="S63" s="24" t="n">
        <f aca="false">-$B$33*S54*S53</f>
        <v>-0</v>
      </c>
      <c r="T63" s="24" t="n">
        <f aca="false">-$B$33*T54*T53</f>
        <v>-0</v>
      </c>
      <c r="U63" s="24" t="n">
        <f aca="false">-$B$33*U54*U53</f>
        <v>-0</v>
      </c>
      <c r="V63" s="24" t="n">
        <f aca="false">-$B$33*V54*V53</f>
        <v>-0</v>
      </c>
      <c r="W63" s="24" t="n">
        <f aca="false">-$B$33*W54*W53</f>
        <v>-0</v>
      </c>
    </row>
    <row r="64" customFormat="false" ht="15" hidden="false" customHeight="false" outlineLevel="0" collapsed="false">
      <c r="A64" s="9" t="s">
        <v>295</v>
      </c>
      <c r="C64" s="31" t="n">
        <f aca="false">C58+C59+C60+C61+C62+C63</f>
        <v>0</v>
      </c>
      <c r="D64" s="31" t="n">
        <f aca="false">D58+D59+D60+D61+D62+D63</f>
        <v>-38032.2167218742</v>
      </c>
      <c r="E64" s="31" t="n">
        <f aca="false">E58+E59+E60+E61+E62+E63</f>
        <v>-73830.4632645263</v>
      </c>
      <c r="F64" s="31" t="n">
        <f aca="false">F58+F59+F60+F61+F62+F63</f>
        <v>-107265.60689715</v>
      </c>
      <c r="G64" s="31" t="n">
        <f aca="false">G58+G59+G60+G61+G62+G63</f>
        <v>-138624.127682631</v>
      </c>
      <c r="H64" s="31" t="n">
        <f aca="false">H58+H59+H60+H61+H62+H63</f>
        <v>-168156.634567765</v>
      </c>
      <c r="I64" s="31" t="n">
        <f aca="false">I58+I59+I60+I61+I62+I63</f>
        <v>-196082.581775911</v>
      </c>
      <c r="J64" s="31" t="n">
        <f aca="false">J58+J59+J60+J61+J62+J63</f>
        <v>-222594.360334424</v>
      </c>
      <c r="K64" s="31" t="n">
        <f aca="false">K58+K59+K60+K61+K62+K63</f>
        <v>-247860.847768403</v>
      </c>
      <c r="L64" s="31" t="n">
        <f aca="false">L58+L59+L60+L61+L62+L63</f>
        <v>-272030.487951947</v>
      </c>
      <c r="M64" s="31" t="n">
        <f aca="false">M58+M59+M60+M61+M62+M63</f>
        <v>-295233.963536078</v>
      </c>
      <c r="N64" s="31" t="n">
        <f aca="false">N58+N59+N60+N61+N62+N63</f>
        <v>-317586.515073372</v>
      </c>
      <c r="O64" s="31" t="n">
        <f aca="false">O58+O59+O60+O61+O62+O63</f>
        <v>-339189.953764012</v>
      </c>
      <c r="P64" s="31" t="n">
        <f aca="false">P58+P59+P60+P61+P62+P63</f>
        <v>-360134.408509436</v>
      </c>
      <c r="Q64" s="31" t="n">
        <f aca="false">Q58+Q59+Q60+Q61+Q62+Q63</f>
        <v>-380499.84255094</v>
      </c>
      <c r="R64" s="31" t="n">
        <f aca="false">R58+R59+R60+R61+R62+R63</f>
        <v>-400357.370281016</v>
      </c>
      <c r="S64" s="31" t="n">
        <f aca="false">S58+S59+S60+S61+S62+S63</f>
        <v>0</v>
      </c>
      <c r="T64" s="31" t="n">
        <f aca="false">T58+T59+T60+T61+T62+T63</f>
        <v>0</v>
      </c>
      <c r="U64" s="31" t="n">
        <f aca="false">U58+U59+U60+U61+U62+U63</f>
        <v>0</v>
      </c>
      <c r="V64" s="31" t="n">
        <f aca="false">V58+V59+V60+V61+V62+V63</f>
        <v>0</v>
      </c>
      <c r="W64" s="31" t="n">
        <f aca="false">W58+W59+W60+W61+W62+W63</f>
        <v>0</v>
      </c>
    </row>
    <row r="65" customFormat="false" ht="15" hidden="false" customHeight="false" outlineLevel="0" collapsed="false">
      <c r="A65" s="29" t="s">
        <v>296</v>
      </c>
      <c r="C65" s="24" t="n">
        <f aca="false">-$B$42</f>
        <v>-8200000</v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</row>
    <row r="66" customFormat="false" ht="15" hidden="false" customHeight="false" outlineLevel="0" collapsed="false">
      <c r="A66" s="9" t="s">
        <v>297</v>
      </c>
      <c r="C66" s="31" t="n">
        <f aca="false">C64+C65</f>
        <v>-8200000</v>
      </c>
      <c r="D66" s="31" t="n">
        <f aca="false">D64+D65</f>
        <v>-38032.2167218742</v>
      </c>
      <c r="E66" s="31" t="n">
        <f aca="false">E64+E65</f>
        <v>-73830.4632645263</v>
      </c>
      <c r="F66" s="31" t="n">
        <f aca="false">F64+F65</f>
        <v>-107265.60689715</v>
      </c>
      <c r="G66" s="31" t="n">
        <f aca="false">G64+G65</f>
        <v>-138624.127682631</v>
      </c>
      <c r="H66" s="31" t="n">
        <f aca="false">H64+H65</f>
        <v>-168156.634567765</v>
      </c>
      <c r="I66" s="31" t="n">
        <f aca="false">I64+I65</f>
        <v>-196082.581775911</v>
      </c>
      <c r="J66" s="31" t="n">
        <f aca="false">J64+J65</f>
        <v>-222594.360334424</v>
      </c>
      <c r="K66" s="31" t="n">
        <f aca="false">K64+K65</f>
        <v>-247860.847768403</v>
      </c>
      <c r="L66" s="31" t="n">
        <f aca="false">L64+L65</f>
        <v>-272030.487951947</v>
      </c>
      <c r="M66" s="31" t="n">
        <f aca="false">M64+M65</f>
        <v>-295233.963536078</v>
      </c>
      <c r="N66" s="31" t="n">
        <f aca="false">N64+N65</f>
        <v>-317586.515073372</v>
      </c>
      <c r="O66" s="31" t="n">
        <f aca="false">O64+O65</f>
        <v>-339189.953764012</v>
      </c>
      <c r="P66" s="31" t="n">
        <f aca="false">P64+P65</f>
        <v>-360134.408509436</v>
      </c>
      <c r="Q66" s="31" t="n">
        <f aca="false">Q64+Q65</f>
        <v>-380499.84255094</v>
      </c>
      <c r="R66" s="31" t="n">
        <f aca="false">R64+R65</f>
        <v>-400357.370281016</v>
      </c>
      <c r="S66" s="31" t="n">
        <f aca="false">S64+S65</f>
        <v>0</v>
      </c>
      <c r="T66" s="31" t="n">
        <f aca="false">T64+T65</f>
        <v>0</v>
      </c>
      <c r="U66" s="31" t="n">
        <f aca="false">U64+U65</f>
        <v>0</v>
      </c>
      <c r="V66" s="31" t="n">
        <f aca="false">V64+V65</f>
        <v>0</v>
      </c>
      <c r="W66" s="31" t="n">
        <f aca="false">W64+W65</f>
        <v>0</v>
      </c>
    </row>
    <row r="68" customFormat="false" ht="15" hidden="false" customHeight="false" outlineLevel="0" collapsed="false">
      <c r="A68" s="9" t="s">
        <v>298</v>
      </c>
    </row>
    <row r="69" customFormat="false" ht="15" hidden="false" customHeight="false" outlineLevel="0" collapsed="false">
      <c r="A69" s="29" t="s">
        <v>299</v>
      </c>
      <c r="C69" s="24" t="n">
        <v>0</v>
      </c>
      <c r="D69" s="24" t="n">
        <f aca="false">$B$42</f>
        <v>8200000</v>
      </c>
      <c r="E69" s="24" t="n">
        <f aca="false">D71</f>
        <v>6150000</v>
      </c>
      <c r="F69" s="24" t="n">
        <f aca="false">E71</f>
        <v>4612500</v>
      </c>
      <c r="G69" s="24" t="n">
        <f aca="false">F71</f>
        <v>3459375</v>
      </c>
      <c r="H69" s="24" t="n">
        <f aca="false">G71</f>
        <v>2594531.25</v>
      </c>
      <c r="I69" s="24" t="n">
        <f aca="false">H71</f>
        <v>1945898.4375</v>
      </c>
      <c r="J69" s="24" t="n">
        <f aca="false">I71</f>
        <v>1459423.828125</v>
      </c>
      <c r="K69" s="24" t="n">
        <f aca="false">J71</f>
        <v>1094567.87109375</v>
      </c>
      <c r="L69" s="24" t="n">
        <f aca="false">K71</f>
        <v>820925.903320313</v>
      </c>
      <c r="M69" s="24" t="n">
        <f aca="false">L71</f>
        <v>615694.427490234</v>
      </c>
      <c r="N69" s="24" t="n">
        <f aca="false">M71</f>
        <v>461770.820617676</v>
      </c>
      <c r="O69" s="24" t="n">
        <f aca="false">N71</f>
        <v>346328.115463257</v>
      </c>
      <c r="P69" s="24" t="n">
        <f aca="false">O71</f>
        <v>259746.086597443</v>
      </c>
      <c r="Q69" s="24" t="n">
        <f aca="false">P71</f>
        <v>194809.564948082</v>
      </c>
      <c r="R69" s="24" t="n">
        <f aca="false">Q71</f>
        <v>146107.173711061</v>
      </c>
      <c r="S69" s="24" t="n">
        <f aca="false">R71</f>
        <v>0</v>
      </c>
      <c r="T69" s="24" t="n">
        <f aca="false">S71</f>
        <v>0</v>
      </c>
      <c r="U69" s="24" t="n">
        <f aca="false">T71</f>
        <v>0</v>
      </c>
      <c r="V69" s="24" t="n">
        <f aca="false">U71</f>
        <v>0</v>
      </c>
      <c r="W69" s="24" t="n">
        <f aca="false">V71</f>
        <v>0</v>
      </c>
    </row>
    <row r="70" customFormat="false" ht="15" hidden="false" customHeight="false" outlineLevel="0" collapsed="false">
      <c r="A70" s="29" t="s">
        <v>300</v>
      </c>
      <c r="C70" s="24" t="n">
        <v>0</v>
      </c>
      <c r="D70" s="24" t="n">
        <f aca="false">IF(D51=$B$8,D69,D69*$B$36)*D53</f>
        <v>2050000</v>
      </c>
      <c r="E70" s="24" t="n">
        <f aca="false">IF(E51=$B$8,E69,E69*$B$36)*E53</f>
        <v>1537500</v>
      </c>
      <c r="F70" s="24" t="n">
        <f aca="false">IF(F51=$B$8,F69,F69*$B$36)*F53</f>
        <v>1153125</v>
      </c>
      <c r="G70" s="24" t="n">
        <f aca="false">IF(G51=$B$8,G69,G69*$B$36)*G53</f>
        <v>864843.75</v>
      </c>
      <c r="H70" s="24" t="n">
        <f aca="false">IF(H51=$B$8,H69,H69*$B$36)*H53</f>
        <v>648632.8125</v>
      </c>
      <c r="I70" s="24" t="n">
        <f aca="false">IF(I51=$B$8,I69,I69*$B$36)*I53</f>
        <v>486474.609375</v>
      </c>
      <c r="J70" s="24" t="n">
        <f aca="false">IF(J51=$B$8,J69,J69*$B$36)*J53</f>
        <v>364855.95703125</v>
      </c>
      <c r="K70" s="24" t="n">
        <f aca="false">IF(K51=$B$8,K69,K69*$B$36)*K53</f>
        <v>273641.967773438</v>
      </c>
      <c r="L70" s="24" t="n">
        <f aca="false">IF(L51=$B$8,L69,L69*$B$36)*L53</f>
        <v>205231.475830078</v>
      </c>
      <c r="M70" s="24" t="n">
        <f aca="false">IF(M51=$B$8,M69,M69*$B$36)*M53</f>
        <v>153923.606872559</v>
      </c>
      <c r="N70" s="24" t="n">
        <f aca="false">IF(N51=$B$8,N69,N69*$B$36)*N53</f>
        <v>115442.705154419</v>
      </c>
      <c r="O70" s="24" t="n">
        <f aca="false">IF(O51=$B$8,O69,O69*$B$36)*O53</f>
        <v>86582.0288658142</v>
      </c>
      <c r="P70" s="24" t="n">
        <f aca="false">IF(P51=$B$8,P69,P69*$B$36)*P53</f>
        <v>64936.5216493607</v>
      </c>
      <c r="Q70" s="24" t="n">
        <f aca="false">IF(Q51=$B$8,Q69,Q69*$B$36)*Q53</f>
        <v>48702.3912370205</v>
      </c>
      <c r="R70" s="24" t="n">
        <f aca="false">IF(R51=$B$8,R69,R69*$B$36)*R53</f>
        <v>146107.173711061</v>
      </c>
      <c r="S70" s="24" t="n">
        <f aca="false">IF(S51=$B$8,S69,S69*$B$36)*S53</f>
        <v>0</v>
      </c>
      <c r="T70" s="24" t="n">
        <f aca="false">IF(T51=$B$8,T69,T69*$B$36)*T53</f>
        <v>0</v>
      </c>
      <c r="U70" s="24" t="n">
        <f aca="false">IF(U51=$B$8,U69,U69*$B$36)*U53</f>
        <v>0</v>
      </c>
      <c r="V70" s="24" t="n">
        <f aca="false">IF(V51=$B$8,V69,V69*$B$36)*V53</f>
        <v>0</v>
      </c>
      <c r="W70" s="24" t="n">
        <f aca="false">IF(W51=$B$8,W69,W69*$B$36)*W53</f>
        <v>0</v>
      </c>
    </row>
    <row r="71" customFormat="false" ht="15" hidden="false" customHeight="false" outlineLevel="0" collapsed="false">
      <c r="A71" s="29" t="s">
        <v>301</v>
      </c>
      <c r="C71" s="24" t="n">
        <v>0</v>
      </c>
      <c r="D71" s="24" t="n">
        <f aca="false">D69-D70</f>
        <v>6150000</v>
      </c>
      <c r="E71" s="24" t="n">
        <f aca="false">E69-E70</f>
        <v>4612500</v>
      </c>
      <c r="F71" s="24" t="n">
        <f aca="false">F69-F70</f>
        <v>3459375</v>
      </c>
      <c r="G71" s="24" t="n">
        <f aca="false">G69-G70</f>
        <v>2594531.25</v>
      </c>
      <c r="H71" s="24" t="n">
        <f aca="false">H69-H70</f>
        <v>1945898.4375</v>
      </c>
      <c r="I71" s="24" t="n">
        <f aca="false">I69-I70</f>
        <v>1459423.828125</v>
      </c>
      <c r="J71" s="24" t="n">
        <f aca="false">J69-J70</f>
        <v>1094567.87109375</v>
      </c>
      <c r="K71" s="24" t="n">
        <f aca="false">K69-K70</f>
        <v>820925.903320313</v>
      </c>
      <c r="L71" s="24" t="n">
        <f aca="false">L69-L70</f>
        <v>615694.427490234</v>
      </c>
      <c r="M71" s="24" t="n">
        <f aca="false">M69-M70</f>
        <v>461770.820617676</v>
      </c>
      <c r="N71" s="24" t="n">
        <f aca="false">N69-N70</f>
        <v>346328.115463257</v>
      </c>
      <c r="O71" s="24" t="n">
        <f aca="false">O69-O70</f>
        <v>259746.086597443</v>
      </c>
      <c r="P71" s="24" t="n">
        <f aca="false">P69-P70</f>
        <v>194809.564948082</v>
      </c>
      <c r="Q71" s="24" t="n">
        <f aca="false">Q69-Q70</f>
        <v>146107.173711061</v>
      </c>
      <c r="R71" s="24" t="n">
        <f aca="false">R69-R70</f>
        <v>0</v>
      </c>
      <c r="S71" s="24" t="n">
        <f aca="false">S69-S70</f>
        <v>0</v>
      </c>
      <c r="T71" s="24" t="n">
        <f aca="false">T69-T70</f>
        <v>0</v>
      </c>
      <c r="U71" s="24" t="n">
        <f aca="false">U69-U70</f>
        <v>0</v>
      </c>
      <c r="V71" s="24" t="n">
        <f aca="false">V69-V70</f>
        <v>0</v>
      </c>
      <c r="W71" s="24" t="n">
        <f aca="false">W69-W70</f>
        <v>0</v>
      </c>
    </row>
    <row r="72" customFormat="false" ht="15" hidden="false" customHeight="false" outlineLevel="0" collapsed="false">
      <c r="A72" s="29" t="s">
        <v>302</v>
      </c>
      <c r="C72" s="24" t="n">
        <v>0</v>
      </c>
      <c r="D72" s="24" t="n">
        <f aca="false">D64-D70</f>
        <v>-2088032.21672187</v>
      </c>
      <c r="E72" s="24" t="n">
        <f aca="false">E64-E70</f>
        <v>-1611330.46326453</v>
      </c>
      <c r="F72" s="24" t="n">
        <f aca="false">F64-F70</f>
        <v>-1260390.60689715</v>
      </c>
      <c r="G72" s="24" t="n">
        <f aca="false">G64-G70</f>
        <v>-1003467.87768263</v>
      </c>
      <c r="H72" s="24" t="n">
        <f aca="false">H64-H70</f>
        <v>-816789.447067765</v>
      </c>
      <c r="I72" s="24" t="n">
        <f aca="false">I64-I70</f>
        <v>-682557.191150911</v>
      </c>
      <c r="J72" s="24" t="n">
        <f aca="false">J64-J70</f>
        <v>-587450.317365674</v>
      </c>
      <c r="K72" s="24" t="n">
        <f aca="false">K64-K70</f>
        <v>-521502.81554184</v>
      </c>
      <c r="L72" s="24" t="n">
        <f aca="false">L64-L70</f>
        <v>-477261.963782026</v>
      </c>
      <c r="M72" s="24" t="n">
        <f aca="false">M64-M70</f>
        <v>-449157.570408637</v>
      </c>
      <c r="N72" s="24" t="n">
        <f aca="false">N64-N70</f>
        <v>-433029.220227791</v>
      </c>
      <c r="O72" s="24" t="n">
        <f aca="false">O64-O70</f>
        <v>-425771.982629826</v>
      </c>
      <c r="P72" s="24" t="n">
        <f aca="false">P64-P70</f>
        <v>-425070.930158797</v>
      </c>
      <c r="Q72" s="24" t="n">
        <f aca="false">Q64-Q70</f>
        <v>-429202.23378796</v>
      </c>
      <c r="R72" s="24" t="n">
        <f aca="false">R64-R70</f>
        <v>-546464.543992077</v>
      </c>
      <c r="S72" s="24" t="n">
        <f aca="false">S64-S70</f>
        <v>0</v>
      </c>
      <c r="T72" s="24" t="n">
        <f aca="false">T64-T70</f>
        <v>0</v>
      </c>
      <c r="U72" s="24" t="n">
        <f aca="false">U64-U70</f>
        <v>0</v>
      </c>
      <c r="V72" s="24" t="n">
        <f aca="false">V64-V70</f>
        <v>0</v>
      </c>
      <c r="W72" s="24" t="n">
        <f aca="false">W64-W70</f>
        <v>0</v>
      </c>
    </row>
    <row r="73" customFormat="false" ht="15" hidden="false" customHeight="false" outlineLevel="0" collapsed="false">
      <c r="A73" s="29" t="s">
        <v>303</v>
      </c>
      <c r="C73" s="24" t="n">
        <v>0</v>
      </c>
      <c r="D73" s="24" t="n">
        <f aca="false">C75</f>
        <v>0</v>
      </c>
      <c r="E73" s="24" t="n">
        <f aca="false">D75</f>
        <v>2088032.21672187</v>
      </c>
      <c r="F73" s="24" t="n">
        <f aca="false">E75</f>
        <v>3699362.6799864</v>
      </c>
      <c r="G73" s="24" t="n">
        <f aca="false">F75</f>
        <v>4959753.28688355</v>
      </c>
      <c r="H73" s="24" t="n">
        <f aca="false">G75</f>
        <v>5963221.16456618</v>
      </c>
      <c r="I73" s="24" t="n">
        <f aca="false">H75</f>
        <v>6780010.61163395</v>
      </c>
      <c r="J73" s="24" t="n">
        <f aca="false">I75</f>
        <v>7462567.80278486</v>
      </c>
      <c r="K73" s="24" t="n">
        <f aca="false">J75</f>
        <v>8050018.12015053</v>
      </c>
      <c r="L73" s="24" t="n">
        <f aca="false">K75</f>
        <v>8571520.93569237</v>
      </c>
      <c r="M73" s="24" t="n">
        <f aca="false">L75</f>
        <v>9048782.8994744</v>
      </c>
      <c r="N73" s="24" t="n">
        <f aca="false">M75</f>
        <v>9497940.46988304</v>
      </c>
      <c r="O73" s="24" t="n">
        <f aca="false">N75</f>
        <v>9930969.69011083</v>
      </c>
      <c r="P73" s="24" t="n">
        <f aca="false">O75</f>
        <v>10356741.6727407</v>
      </c>
      <c r="Q73" s="24" t="n">
        <f aca="false">P75</f>
        <v>10781812.6028994</v>
      </c>
      <c r="R73" s="24" t="n">
        <f aca="false">Q75</f>
        <v>11211014.8366874</v>
      </c>
      <c r="S73" s="24" t="n">
        <f aca="false">R75</f>
        <v>11757479.3806795</v>
      </c>
      <c r="T73" s="24" t="n">
        <f aca="false">S75</f>
        <v>11757479.3806795</v>
      </c>
      <c r="U73" s="24" t="n">
        <f aca="false">T75</f>
        <v>11757479.3806795</v>
      </c>
      <c r="V73" s="24" t="n">
        <f aca="false">U75</f>
        <v>11757479.3806795</v>
      </c>
      <c r="W73" s="24" t="n">
        <f aca="false">V75</f>
        <v>11757479.3806795</v>
      </c>
    </row>
    <row r="74" customFormat="false" ht="15" hidden="false" customHeight="false" outlineLevel="0" collapsed="false">
      <c r="A74" s="29" t="s">
        <v>304</v>
      </c>
      <c r="C74" s="24" t="n">
        <v>0</v>
      </c>
      <c r="D74" s="24" t="n">
        <f aca="false">MIN(D73,MAX(D72,0))</f>
        <v>0</v>
      </c>
      <c r="E74" s="24" t="n">
        <f aca="false">MIN(E73,MAX(E72,0))</f>
        <v>0</v>
      </c>
      <c r="F74" s="24" t="n">
        <f aca="false">MIN(F73,MAX(F72,0))</f>
        <v>0</v>
      </c>
      <c r="G74" s="24" t="n">
        <f aca="false">MIN(G73,MAX(G72,0))</f>
        <v>0</v>
      </c>
      <c r="H74" s="24" t="n">
        <f aca="false">MIN(H73,MAX(H72,0))</f>
        <v>0</v>
      </c>
      <c r="I74" s="24" t="n">
        <f aca="false">MIN(I73,MAX(I72,0))</f>
        <v>0</v>
      </c>
      <c r="J74" s="24" t="n">
        <f aca="false">MIN(J73,MAX(J72,0))</f>
        <v>0</v>
      </c>
      <c r="K74" s="24" t="n">
        <f aca="false">MIN(K73,MAX(K72,0))</f>
        <v>0</v>
      </c>
      <c r="L74" s="24" t="n">
        <f aca="false">MIN(L73,MAX(L72,0))</f>
        <v>0</v>
      </c>
      <c r="M74" s="24" t="n">
        <f aca="false">MIN(M73,MAX(M72,0))</f>
        <v>0</v>
      </c>
      <c r="N74" s="24" t="n">
        <f aca="false">MIN(N73,MAX(N72,0))</f>
        <v>0</v>
      </c>
      <c r="O74" s="24" t="n">
        <f aca="false">MIN(O73,MAX(O72,0))</f>
        <v>0</v>
      </c>
      <c r="P74" s="24" t="n">
        <f aca="false">MIN(P73,MAX(P72,0))</f>
        <v>0</v>
      </c>
      <c r="Q74" s="24" t="n">
        <f aca="false">MIN(Q73,MAX(Q72,0))</f>
        <v>0</v>
      </c>
      <c r="R74" s="24" t="n">
        <f aca="false">MIN(R73,MAX(R72,0))</f>
        <v>0</v>
      </c>
      <c r="S74" s="24" t="n">
        <f aca="false">MIN(S73,MAX(S72,0))</f>
        <v>0</v>
      </c>
      <c r="T74" s="24" t="n">
        <f aca="false">MIN(T73,MAX(T72,0))</f>
        <v>0</v>
      </c>
      <c r="U74" s="24" t="n">
        <f aca="false">MIN(U73,MAX(U72,0))</f>
        <v>0</v>
      </c>
      <c r="V74" s="24" t="n">
        <f aca="false">MIN(V73,MAX(V72,0))</f>
        <v>0</v>
      </c>
      <c r="W74" s="24" t="n">
        <f aca="false">MIN(W73,MAX(W72,0))</f>
        <v>0</v>
      </c>
    </row>
    <row r="75" customFormat="false" ht="15" hidden="false" customHeight="false" outlineLevel="0" collapsed="false">
      <c r="A75" s="29" t="s">
        <v>305</v>
      </c>
      <c r="C75" s="24" t="n">
        <v>0</v>
      </c>
      <c r="D75" s="24" t="n">
        <f aca="false">D73-D74+MAX(-D72,0)</f>
        <v>2088032.21672187</v>
      </c>
      <c r="E75" s="24" t="n">
        <f aca="false">E73-E74+MAX(-E72,0)</f>
        <v>3699362.6799864</v>
      </c>
      <c r="F75" s="24" t="n">
        <f aca="false">F73-F74+MAX(-F72,0)</f>
        <v>4959753.28688355</v>
      </c>
      <c r="G75" s="24" t="n">
        <f aca="false">G73-G74+MAX(-G72,0)</f>
        <v>5963221.16456618</v>
      </c>
      <c r="H75" s="24" t="n">
        <f aca="false">H73-H74+MAX(-H72,0)</f>
        <v>6780010.61163395</v>
      </c>
      <c r="I75" s="24" t="n">
        <f aca="false">I73-I74+MAX(-I72,0)</f>
        <v>7462567.80278486</v>
      </c>
      <c r="J75" s="24" t="n">
        <f aca="false">J73-J74+MAX(-J72,0)</f>
        <v>8050018.12015053</v>
      </c>
      <c r="K75" s="24" t="n">
        <f aca="false">K73-K74+MAX(-K72,0)</f>
        <v>8571520.93569237</v>
      </c>
      <c r="L75" s="24" t="n">
        <f aca="false">L73-L74+MAX(-L72,0)</f>
        <v>9048782.8994744</v>
      </c>
      <c r="M75" s="24" t="n">
        <f aca="false">M73-M74+MAX(-M72,0)</f>
        <v>9497940.46988304</v>
      </c>
      <c r="N75" s="24" t="n">
        <f aca="false">N73-N74+MAX(-N72,0)</f>
        <v>9930969.69011083</v>
      </c>
      <c r="O75" s="24" t="n">
        <f aca="false">O73-O74+MAX(-O72,0)</f>
        <v>10356741.6727407</v>
      </c>
      <c r="P75" s="24" t="n">
        <f aca="false">P73-P74+MAX(-P72,0)</f>
        <v>10781812.6028994</v>
      </c>
      <c r="Q75" s="24" t="n">
        <f aca="false">Q73-Q74+MAX(-Q72,0)</f>
        <v>11211014.8366874</v>
      </c>
      <c r="R75" s="24" t="n">
        <f aca="false">R73-R74+MAX(-R72,0)</f>
        <v>11757479.3806795</v>
      </c>
      <c r="S75" s="24" t="n">
        <f aca="false">S73-S74+MAX(-S72,0)</f>
        <v>11757479.3806795</v>
      </c>
      <c r="T75" s="24" t="n">
        <f aca="false">T73-T74+MAX(-T72,0)</f>
        <v>11757479.3806795</v>
      </c>
      <c r="U75" s="24" t="n">
        <f aca="false">U73-U74+MAX(-U72,0)</f>
        <v>11757479.3806795</v>
      </c>
      <c r="V75" s="24" t="n">
        <f aca="false">V73-V74+MAX(-V72,0)</f>
        <v>11757479.3806795</v>
      </c>
      <c r="W75" s="24" t="n">
        <f aca="false">W73-W74+MAX(-W72,0)</f>
        <v>11757479.3806795</v>
      </c>
    </row>
    <row r="76" customFormat="false" ht="15" hidden="false" customHeight="false" outlineLevel="0" collapsed="false">
      <c r="A76" s="29" t="s">
        <v>167</v>
      </c>
      <c r="C76" s="24" t="n">
        <v>0</v>
      </c>
      <c r="D76" s="24" t="n">
        <f aca="false">-MAX(D72-D74,0)*$B$35</f>
        <v>-0</v>
      </c>
      <c r="E76" s="24" t="n">
        <f aca="false">-MAX(E72-E74,0)*$B$35</f>
        <v>-0</v>
      </c>
      <c r="F76" s="24" t="n">
        <f aca="false">-MAX(F72-F74,0)*$B$35</f>
        <v>-0</v>
      </c>
      <c r="G76" s="24" t="n">
        <f aca="false">-MAX(G72-G74,0)*$B$35</f>
        <v>-0</v>
      </c>
      <c r="H76" s="24" t="n">
        <f aca="false">-MAX(H72-H74,0)*$B$35</f>
        <v>-0</v>
      </c>
      <c r="I76" s="24" t="n">
        <f aca="false">-MAX(I72-I74,0)*$B$35</f>
        <v>-0</v>
      </c>
      <c r="J76" s="24" t="n">
        <f aca="false">-MAX(J72-J74,0)*$B$35</f>
        <v>-0</v>
      </c>
      <c r="K76" s="24" t="n">
        <f aca="false">-MAX(K72-K74,0)*$B$35</f>
        <v>-0</v>
      </c>
      <c r="L76" s="24" t="n">
        <f aca="false">-MAX(L72-L74,0)*$B$35</f>
        <v>-0</v>
      </c>
      <c r="M76" s="24" t="n">
        <f aca="false">-MAX(M72-M74,0)*$B$35</f>
        <v>-0</v>
      </c>
      <c r="N76" s="24" t="n">
        <f aca="false">-MAX(N72-N74,0)*$B$35</f>
        <v>-0</v>
      </c>
      <c r="O76" s="24" t="n">
        <f aca="false">-MAX(O72-O74,0)*$B$35</f>
        <v>-0</v>
      </c>
      <c r="P76" s="24" t="n">
        <f aca="false">-MAX(P72-P74,0)*$B$35</f>
        <v>-0</v>
      </c>
      <c r="Q76" s="24" t="n">
        <f aca="false">-MAX(Q72-Q74,0)*$B$35</f>
        <v>-0</v>
      </c>
      <c r="R76" s="24" t="n">
        <f aca="false">-MAX(R72-R74,0)*$B$35</f>
        <v>-0</v>
      </c>
      <c r="S76" s="24" t="n">
        <f aca="false">-MAX(S72-S74,0)*$B$35</f>
        <v>-0</v>
      </c>
      <c r="T76" s="24" t="n">
        <f aca="false">-MAX(T72-T74,0)*$B$35</f>
        <v>-0</v>
      </c>
      <c r="U76" s="24" t="n">
        <f aca="false">-MAX(U72-U74,0)*$B$35</f>
        <v>-0</v>
      </c>
      <c r="V76" s="24" t="n">
        <f aca="false">-MAX(V72-V74,0)*$B$35</f>
        <v>-0</v>
      </c>
      <c r="W76" s="24" t="n">
        <f aca="false">-MAX(W72-W74,0)*$B$35</f>
        <v>-0</v>
      </c>
    </row>
    <row r="77" customFormat="false" ht="15" hidden="false" customHeight="false" outlineLevel="0" collapsed="false">
      <c r="A77" s="9" t="s">
        <v>306</v>
      </c>
      <c r="C77" s="31" t="n">
        <f aca="false">C66+C76</f>
        <v>-8200000</v>
      </c>
      <c r="D77" s="31" t="n">
        <f aca="false">D66+D76</f>
        <v>-38032.2167218742</v>
      </c>
      <c r="E77" s="31" t="n">
        <f aca="false">E66+E76</f>
        <v>-73830.4632645263</v>
      </c>
      <c r="F77" s="31" t="n">
        <f aca="false">F66+F76</f>
        <v>-107265.60689715</v>
      </c>
      <c r="G77" s="31" t="n">
        <f aca="false">G66+G76</f>
        <v>-138624.127682631</v>
      </c>
      <c r="H77" s="31" t="n">
        <f aca="false">H66+H76</f>
        <v>-168156.634567765</v>
      </c>
      <c r="I77" s="31" t="n">
        <f aca="false">I66+I76</f>
        <v>-196082.581775911</v>
      </c>
      <c r="J77" s="31" t="n">
        <f aca="false">J66+J76</f>
        <v>-222594.360334424</v>
      </c>
      <c r="K77" s="31" t="n">
        <f aca="false">K66+K76</f>
        <v>-247860.847768403</v>
      </c>
      <c r="L77" s="31" t="n">
        <f aca="false">L66+L76</f>
        <v>-272030.487951947</v>
      </c>
      <c r="M77" s="31" t="n">
        <f aca="false">M66+M76</f>
        <v>-295233.963536078</v>
      </c>
      <c r="N77" s="31" t="n">
        <f aca="false">N66+N76</f>
        <v>-317586.515073372</v>
      </c>
      <c r="O77" s="31" t="n">
        <f aca="false">O66+O76</f>
        <v>-339189.953764012</v>
      </c>
      <c r="P77" s="31" t="n">
        <f aca="false">P66+P76</f>
        <v>-360134.408509436</v>
      </c>
      <c r="Q77" s="31" t="n">
        <f aca="false">Q66+Q76</f>
        <v>-380499.84255094</v>
      </c>
      <c r="R77" s="31" t="n">
        <f aca="false">R66+R76</f>
        <v>-400357.370281016</v>
      </c>
      <c r="S77" s="31" t="n">
        <f aca="false">S66+S76</f>
        <v>0</v>
      </c>
      <c r="T77" s="31" t="n">
        <f aca="false">T66+T76</f>
        <v>0</v>
      </c>
      <c r="U77" s="31" t="n">
        <f aca="false">U66+U76</f>
        <v>0</v>
      </c>
      <c r="V77" s="31" t="n">
        <f aca="false">V66+V76</f>
        <v>0</v>
      </c>
      <c r="W77" s="31" t="n">
        <f aca="false">W66+W76</f>
        <v>0</v>
      </c>
    </row>
    <row r="78" customFormat="false" ht="15" hidden="false" customHeight="false" outlineLevel="0" collapsed="false">
      <c r="A78" s="29" t="s">
        <v>307</v>
      </c>
      <c r="C78" s="24" t="n">
        <f aca="false">C77</f>
        <v>-8200000</v>
      </c>
      <c r="D78" s="24" t="n">
        <f aca="false">C78+D77</f>
        <v>-8238032.21672188</v>
      </c>
      <c r="E78" s="24" t="n">
        <f aca="false">D78+E77</f>
        <v>-8311862.6799864</v>
      </c>
      <c r="F78" s="24" t="n">
        <f aca="false">E78+F77</f>
        <v>-8419128.28688355</v>
      </c>
      <c r="G78" s="24" t="n">
        <f aca="false">F78+G77</f>
        <v>-8557752.41456618</v>
      </c>
      <c r="H78" s="24" t="n">
        <f aca="false">G78+H77</f>
        <v>-8725909.04913395</v>
      </c>
      <c r="I78" s="24" t="n">
        <f aca="false">H78+I77</f>
        <v>-8921991.63090986</v>
      </c>
      <c r="J78" s="24" t="n">
        <f aca="false">I78+J77</f>
        <v>-9144585.99124428</v>
      </c>
      <c r="K78" s="24" t="n">
        <f aca="false">J78+K77</f>
        <v>-9392446.83901269</v>
      </c>
      <c r="L78" s="24" t="n">
        <f aca="false">K78+L77</f>
        <v>-9664477.32696463</v>
      </c>
      <c r="M78" s="24" t="n">
        <f aca="false">L78+M77</f>
        <v>-9959711.29050071</v>
      </c>
      <c r="N78" s="24" t="n">
        <f aca="false">M78+N77</f>
        <v>-10277297.8055741</v>
      </c>
      <c r="O78" s="24" t="n">
        <f aca="false">N78+O77</f>
        <v>-10616487.7593381</v>
      </c>
      <c r="P78" s="24" t="n">
        <f aca="false">O78+P77</f>
        <v>-10976622.1678475</v>
      </c>
      <c r="Q78" s="24" t="n">
        <f aca="false">P78+Q77</f>
        <v>-11357122.0103985</v>
      </c>
      <c r="R78" s="24" t="n">
        <f aca="false">Q78+R77</f>
        <v>-11757479.3806795</v>
      </c>
      <c r="S78" s="24" t="n">
        <f aca="false">R78+S77</f>
        <v>-11757479.3806795</v>
      </c>
      <c r="T78" s="24" t="n">
        <f aca="false">S78+T77</f>
        <v>-11757479.3806795</v>
      </c>
      <c r="U78" s="24" t="n">
        <f aca="false">T78+U77</f>
        <v>-11757479.3806795</v>
      </c>
      <c r="V78" s="24" t="n">
        <f aca="false">U78+V77</f>
        <v>-11757479.3806795</v>
      </c>
      <c r="W78" s="24" t="n">
        <f aca="false">V78+W77</f>
        <v>-11757479.3806795</v>
      </c>
    </row>
    <row r="79" customFormat="false" ht="15" hidden="false" customHeight="false" outlineLevel="0" collapsed="false">
      <c r="A79" s="29" t="s">
        <v>308</v>
      </c>
      <c r="C79" s="30"/>
      <c r="D79" s="30" t="str">
        <f aca="false">IF(AND(D78&gt;=0,C78&lt;0),D51,"")</f>
        <v/>
      </c>
      <c r="E79" s="30" t="str">
        <f aca="false">IF(AND(E78&gt;=0,D78&lt;0),E51,"")</f>
        <v/>
      </c>
      <c r="F79" s="30" t="str">
        <f aca="false">IF(AND(F78&gt;=0,E78&lt;0),F51,"")</f>
        <v/>
      </c>
      <c r="G79" s="30" t="str">
        <f aca="false">IF(AND(G78&gt;=0,F78&lt;0),G51,"")</f>
        <v/>
      </c>
      <c r="H79" s="30" t="str">
        <f aca="false">IF(AND(H78&gt;=0,G78&lt;0),H51,"")</f>
        <v/>
      </c>
      <c r="I79" s="30" t="str">
        <f aca="false">IF(AND(I78&gt;=0,H78&lt;0),I51,"")</f>
        <v/>
      </c>
      <c r="J79" s="30" t="str">
        <f aca="false">IF(AND(J78&gt;=0,I78&lt;0),J51,"")</f>
        <v/>
      </c>
      <c r="K79" s="30" t="str">
        <f aca="false">IF(AND(K78&gt;=0,J78&lt;0),K51,"")</f>
        <v/>
      </c>
      <c r="L79" s="30" t="str">
        <f aca="false">IF(AND(L78&gt;=0,K78&lt;0),L51,"")</f>
        <v/>
      </c>
      <c r="M79" s="30" t="str">
        <f aca="false">IF(AND(M78&gt;=0,L78&lt;0),M51,"")</f>
        <v/>
      </c>
      <c r="N79" s="30" t="str">
        <f aca="false">IF(AND(N78&gt;=0,M78&lt;0),N51,"")</f>
        <v/>
      </c>
      <c r="O79" s="30" t="str">
        <f aca="false">IF(AND(O78&gt;=0,N78&lt;0),O51,"")</f>
        <v/>
      </c>
      <c r="P79" s="30" t="str">
        <f aca="false">IF(AND(P78&gt;=0,O78&lt;0),P51,"")</f>
        <v/>
      </c>
      <c r="Q79" s="30" t="str">
        <f aca="false">IF(AND(Q78&gt;=0,P78&lt;0),Q51,"")</f>
        <v/>
      </c>
      <c r="R79" s="30" t="str">
        <f aca="false">IF(AND(R78&gt;=0,Q78&lt;0),R51,"")</f>
        <v/>
      </c>
      <c r="S79" s="30" t="str">
        <f aca="false">IF(AND(S78&gt;=0,R78&lt;0),S51,"")</f>
        <v/>
      </c>
      <c r="T79" s="30" t="str">
        <f aca="false">IF(AND(T78&gt;=0,S78&lt;0),T51,"")</f>
        <v/>
      </c>
      <c r="U79" s="30" t="str">
        <f aca="false">IF(AND(U78&gt;=0,T78&lt;0),U51,"")</f>
        <v/>
      </c>
      <c r="V79" s="30" t="str">
        <f aca="false">IF(AND(V78&gt;=0,U78&lt;0),V51,"")</f>
        <v/>
      </c>
      <c r="W79" s="30" t="str">
        <f aca="false">IF(AND(W78&gt;=0,V78&lt;0),W51,"")</f>
        <v/>
      </c>
    </row>
    <row r="81" customFormat="false" ht="15" hidden="false" customHeight="false" outlineLevel="0" collapsed="false">
      <c r="A81" s="9" t="s">
        <v>2</v>
      </c>
    </row>
    <row r="82" customFormat="false" ht="15" hidden="false" customHeight="false" outlineLevel="0" collapsed="false">
      <c r="A82" s="0" t="s">
        <v>309</v>
      </c>
      <c r="B82" s="32" t="str">
        <f aca="false">IFERROR(IRR(C66:W66),"negativ")</f>
        <v>negativ</v>
      </c>
    </row>
    <row r="83" customFormat="false" ht="15" hidden="false" customHeight="false" outlineLevel="0" collapsed="false">
      <c r="A83" s="0" t="s">
        <v>310</v>
      </c>
      <c r="B83" s="32" t="str">
        <f aca="false">IFERROR(IRR(C77:W77),"negativ")</f>
        <v>negativ</v>
      </c>
    </row>
    <row r="84" customFormat="false" ht="15" hidden="false" customHeight="false" outlineLevel="0" collapsed="false">
      <c r="A84" s="0" t="s">
        <v>311</v>
      </c>
      <c r="B84" s="33" t="n">
        <f aca="false">NPV($B$37,D77:W77)+C77</f>
        <v>-9919272.76676763</v>
      </c>
    </row>
    <row r="85" customFormat="false" ht="15" hidden="false" customHeight="false" outlineLevel="0" collapsed="false">
      <c r="A85" s="0" t="s">
        <v>17</v>
      </c>
      <c r="B85" s="34" t="str">
        <f aca="false">IF(COUNT(D79:W79)=0,"&gt; levetid",MIN(D79:W79))</f>
        <v>&gt; levetid</v>
      </c>
    </row>
    <row r="86" customFormat="false" ht="15" hidden="false" customHeight="false" outlineLevel="0" collapsed="false">
      <c r="A86" s="0" t="s">
        <v>274</v>
      </c>
      <c r="B86" s="33" t="n">
        <f aca="false">$B$42</f>
        <v>8200000</v>
      </c>
    </row>
    <row r="87" customFormat="false" ht="15" hidden="false" customHeight="false" outlineLevel="0" collapsed="false">
      <c r="A87" s="0" t="s">
        <v>312</v>
      </c>
      <c r="B87" s="33" t="n">
        <f aca="false">$B$43</f>
        <v>410</v>
      </c>
    </row>
    <row r="88" customFormat="false" ht="15" hidden="false" customHeight="false" outlineLevel="0" collapsed="false">
      <c r="A88" s="0" t="s">
        <v>313</v>
      </c>
      <c r="B88" s="33" t="n">
        <f aca="false">$B$44</f>
        <v>820000</v>
      </c>
    </row>
    <row r="89" customFormat="false" ht="15" hidden="false" customHeight="false" outlineLevel="0" collapsed="false">
      <c r="A89" s="0" t="s">
        <v>314</v>
      </c>
      <c r="B89" s="33" t="n">
        <f aca="false">D58/$B$5</f>
        <v>62209.3013806218</v>
      </c>
    </row>
    <row r="90" customFormat="false" ht="15" hidden="false" customHeight="false" outlineLevel="0" collapsed="false">
      <c r="A90" s="0" t="s">
        <v>315</v>
      </c>
      <c r="B90" s="33" t="n">
        <f aca="false">D64</f>
        <v>-38032.2167218742</v>
      </c>
    </row>
    <row r="91" customFormat="false" ht="15" hidden="false" customHeight="false" outlineLevel="0" collapsed="false">
      <c r="A91" s="0" t="s">
        <v>316</v>
      </c>
      <c r="B91" s="32" t="n">
        <f aca="false">IFERROR(D64/D58,0)</f>
        <v>-0.061135900705873</v>
      </c>
    </row>
    <row r="92" customFormat="false" ht="15" hidden="false" customHeight="false" outlineLevel="0" collapsed="false">
      <c r="A92" s="0" t="s">
        <v>13</v>
      </c>
      <c r="B92" s="32" t="n">
        <f aca="false">D64/$B$42</f>
        <v>-0.00463807520998466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23" min="3" style="0" width="12"/>
  </cols>
  <sheetData>
    <row r="1" customFormat="false" ht="17.35" hidden="false" customHeight="false" outlineLevel="0" collapsed="false">
      <c r="A1" s="1" t="s">
        <v>317</v>
      </c>
    </row>
    <row r="2" customFormat="false" ht="15" hidden="false" customHeight="false" outlineLevel="0" collapsed="false">
      <c r="A2" s="0" t="s">
        <v>236</v>
      </c>
      <c r="B2" s="0" t="n">
        <v>2</v>
      </c>
    </row>
    <row r="4" customFormat="false" ht="15" hidden="false" customHeight="false" outlineLevel="0" collapsed="false">
      <c r="A4" s="9" t="s">
        <v>237</v>
      </c>
    </row>
    <row r="5" customFormat="false" ht="15" hidden="false" customHeight="false" outlineLevel="0" collapsed="false">
      <c r="A5" s="0" t="s">
        <v>238</v>
      </c>
      <c r="B5" s="24" t="n">
        <f aca="false">INDEX(Forudsætninger!$D$6:$F$6,1,$B$2)</f>
        <v>10</v>
      </c>
    </row>
    <row r="6" customFormat="false" ht="15" hidden="false" customHeight="false" outlineLevel="0" collapsed="false">
      <c r="A6" s="0" t="s">
        <v>239</v>
      </c>
      <c r="B6" s="24" t="n">
        <f aca="false">INDEX(Forudsætninger!$D$7:$F$7,1,$B$2)</f>
        <v>2</v>
      </c>
    </row>
    <row r="7" customFormat="false" ht="15" hidden="false" customHeight="false" outlineLevel="0" collapsed="false">
      <c r="A7" s="0" t="s">
        <v>240</v>
      </c>
      <c r="B7" s="24" t="n">
        <f aca="false">INDEX(Forudsætninger!$D$8:$F$8,1,$B$2)</f>
        <v>2028</v>
      </c>
    </row>
    <row r="8" customFormat="false" ht="15" hidden="false" customHeight="false" outlineLevel="0" collapsed="false">
      <c r="A8" s="0" t="s">
        <v>241</v>
      </c>
      <c r="B8" s="24" t="n">
        <f aca="false">INDEX(Forudsætninger!$D$9:$F$9,1,$B$2)</f>
        <v>15</v>
      </c>
    </row>
    <row r="9" customFormat="false" ht="15" hidden="false" customHeight="false" outlineLevel="0" collapsed="false">
      <c r="A9" s="0" t="s">
        <v>242</v>
      </c>
      <c r="B9" s="25" t="n">
        <f aca="false">INDEX(Forudsætninger!$D$10:$F$10,1,$B$2)</f>
        <v>0.92</v>
      </c>
    </row>
    <row r="10" customFormat="false" ht="15" hidden="false" customHeight="false" outlineLevel="0" collapsed="false">
      <c r="A10" s="0" t="s">
        <v>243</v>
      </c>
      <c r="B10" s="25" t="n">
        <f aca="false">INDEX(Forudsætninger!$D$11:$F$11,1,$B$2)</f>
        <v>0.02</v>
      </c>
    </row>
    <row r="11" customFormat="false" ht="15" hidden="false" customHeight="false" outlineLevel="0" collapsed="false">
      <c r="A11" s="0" t="s">
        <v>244</v>
      </c>
      <c r="B11" s="25" t="n">
        <f aca="false">INDEX(Forudsætninger!$D$12:$F$12,1,$B$2)</f>
        <v>0.86</v>
      </c>
    </row>
    <row r="12" customFormat="false" ht="15" hidden="false" customHeight="false" outlineLevel="0" collapsed="false">
      <c r="A12" s="0" t="s">
        <v>245</v>
      </c>
      <c r="B12" s="24" t="n">
        <f aca="false">INDEX(Forudsætninger!$D$14:$F$14,1,$B$2)</f>
        <v>200</v>
      </c>
    </row>
    <row r="13" customFormat="false" ht="15" hidden="false" customHeight="false" outlineLevel="0" collapsed="false">
      <c r="A13" s="0" t="s">
        <v>246</v>
      </c>
      <c r="B13" s="24" t="n">
        <f aca="false">INDEX(Forudsætninger!$D$15:$F$15,1,$B$2)</f>
        <v>200</v>
      </c>
    </row>
    <row r="14" customFormat="false" ht="15" hidden="false" customHeight="false" outlineLevel="0" collapsed="false">
      <c r="A14" s="0" t="s">
        <v>247</v>
      </c>
      <c r="B14" s="24" t="n">
        <f aca="false">INDEX(Forudsætninger!$D$16:$F$16,1,$B$2)</f>
        <v>250000</v>
      </c>
    </row>
    <row r="15" customFormat="false" ht="15" hidden="false" customHeight="false" outlineLevel="0" collapsed="false">
      <c r="A15" s="0" t="s">
        <v>248</v>
      </c>
      <c r="B15" s="24" t="n">
        <f aca="false">INDEX(Forudsætninger!$D$17:$F$17,1,$B$2)</f>
        <v>0</v>
      </c>
    </row>
    <row r="16" customFormat="false" ht="15" hidden="false" customHeight="false" outlineLevel="0" collapsed="false">
      <c r="A16" s="0" t="s">
        <v>249</v>
      </c>
      <c r="B16" s="26" t="n">
        <f aca="false">INDEX(Forudsætninger!$D$19:$F$19,1,$B$2)</f>
        <v>1</v>
      </c>
    </row>
    <row r="17" customFormat="false" ht="15" hidden="false" customHeight="false" outlineLevel="0" collapsed="false">
      <c r="A17" s="0" t="s">
        <v>250</v>
      </c>
      <c r="B17" s="25" t="n">
        <f aca="false">INDEX(Forudsætninger!$D$20:$F$20,1,$B$2)</f>
        <v>0.85</v>
      </c>
    </row>
    <row r="18" customFormat="false" ht="15" hidden="false" customHeight="false" outlineLevel="0" collapsed="false">
      <c r="A18" s="0" t="s">
        <v>251</v>
      </c>
      <c r="B18" s="25" t="n">
        <f aca="false">INDEX(Forudsætninger!$D$21:$F$21,1,$B$2)</f>
        <v>0.1</v>
      </c>
    </row>
    <row r="19" customFormat="false" ht="15" hidden="false" customHeight="false" outlineLevel="0" collapsed="false">
      <c r="A19" s="0" t="s">
        <v>252</v>
      </c>
      <c r="B19" s="25" t="n">
        <f aca="false">INDEX(Forudsætninger!$D$22:$F$22,1,$B$2)</f>
        <v>-0.01</v>
      </c>
    </row>
    <row r="20" customFormat="false" ht="15" hidden="false" customHeight="false" outlineLevel="0" collapsed="false">
      <c r="A20" s="0" t="s">
        <v>253</v>
      </c>
      <c r="B20" s="24" t="n">
        <f aca="false">INDEX(Forudsætninger!$D$23:$F$23,1,$B$2)</f>
        <v>30000</v>
      </c>
    </row>
    <row r="21" customFormat="false" ht="15" hidden="false" customHeight="false" outlineLevel="0" collapsed="false">
      <c r="A21" s="0" t="s">
        <v>254</v>
      </c>
      <c r="B21" s="25" t="n">
        <f aca="false">INDEX(Forudsætninger!$D$24:$F$24,1,$B$2)</f>
        <v>-0.05</v>
      </c>
    </row>
    <row r="22" customFormat="false" ht="15" hidden="false" customHeight="false" outlineLevel="0" collapsed="false">
      <c r="A22" s="0" t="s">
        <v>255</v>
      </c>
      <c r="B22" s="24" t="n">
        <f aca="false">INDEX(Forudsætninger!$D$25:$F$25,1,$B$2)</f>
        <v>10000</v>
      </c>
    </row>
    <row r="23" customFormat="false" ht="15" hidden="false" customHeight="false" outlineLevel="0" collapsed="false">
      <c r="A23" s="0" t="s">
        <v>256</v>
      </c>
      <c r="B23" s="26" t="n">
        <f aca="false">INDEX(Forudsætninger!$D$27:$F$27,1,$B$2)</f>
        <v>10.5</v>
      </c>
    </row>
    <row r="24" customFormat="false" ht="15" hidden="false" customHeight="false" outlineLevel="0" collapsed="false">
      <c r="A24" s="0" t="s">
        <v>257</v>
      </c>
      <c r="B24" s="26" t="n">
        <f aca="false">INDEX(Forudsætninger!$D$28:$F$28,1,$B$2)</f>
        <v>3</v>
      </c>
    </row>
    <row r="25" customFormat="false" ht="15" hidden="false" customHeight="false" outlineLevel="0" collapsed="false">
      <c r="A25" s="0" t="s">
        <v>258</v>
      </c>
      <c r="B25" s="26" t="n">
        <f aca="false">INDEX(Forudsætninger!$D$29:$F$29,1,$B$2)</f>
        <v>0.4</v>
      </c>
    </row>
    <row r="26" customFormat="false" ht="15" hidden="false" customHeight="false" outlineLevel="0" collapsed="false">
      <c r="A26" s="0" t="s">
        <v>259</v>
      </c>
      <c r="B26" s="26" t="n">
        <f aca="false">INDEX(Forudsætninger!$D$30:$F$30,1,$B$2)</f>
        <v>0.92</v>
      </c>
    </row>
    <row r="27" customFormat="false" ht="15" hidden="false" customHeight="false" outlineLevel="0" collapsed="false">
      <c r="A27" s="0" t="s">
        <v>260</v>
      </c>
      <c r="B27" s="26" t="n">
        <f aca="false">INDEX(Forudsætninger!$D$31:$F$31,1,$B$2)</f>
        <v>0.5</v>
      </c>
    </row>
    <row r="28" customFormat="false" ht="15" hidden="false" customHeight="false" outlineLevel="0" collapsed="false">
      <c r="A28" s="0" t="s">
        <v>261</v>
      </c>
      <c r="B28" s="26" t="n">
        <f aca="false">INDEX(Forudsætninger!$D$32:$F$32,1,$B$2)</f>
        <v>7.46</v>
      </c>
    </row>
    <row r="29" customFormat="false" ht="15" hidden="false" customHeight="false" outlineLevel="0" collapsed="false">
      <c r="A29" s="0" t="s">
        <v>262</v>
      </c>
      <c r="B29" s="25" t="n">
        <f aca="false">INDEX(Forudsætninger!$D$34:$F$34,1,$B$2)</f>
        <v>0.015</v>
      </c>
    </row>
    <row r="30" customFormat="false" ht="15" hidden="false" customHeight="false" outlineLevel="0" collapsed="false">
      <c r="A30" s="0" t="s">
        <v>263</v>
      </c>
      <c r="B30" s="25" t="n">
        <f aca="false">INDEX(Forudsætninger!$D$35:$F$35,1,$B$2)</f>
        <v>0.004</v>
      </c>
    </row>
    <row r="31" customFormat="false" ht="15" hidden="false" customHeight="false" outlineLevel="0" collapsed="false">
      <c r="A31" s="0" t="s">
        <v>264</v>
      </c>
      <c r="B31" s="25" t="n">
        <f aca="false">INDEX(Forudsætninger!$D$36:$F$36,1,$B$2)</f>
        <v>0.1</v>
      </c>
    </row>
    <row r="32" customFormat="false" ht="15" hidden="false" customHeight="false" outlineLevel="0" collapsed="false">
      <c r="A32" s="0" t="s">
        <v>265</v>
      </c>
      <c r="B32" s="24" t="n">
        <f aca="false">INDEX(Forudsætninger!$D$37:$F$37,1,$B$2)</f>
        <v>6000</v>
      </c>
    </row>
    <row r="33" customFormat="false" ht="15" hidden="false" customHeight="false" outlineLevel="0" collapsed="false">
      <c r="A33" s="0" t="s">
        <v>266</v>
      </c>
      <c r="B33" s="24" t="n">
        <f aca="false">INDEX(Forudsætninger!$D$38:$F$38,1,$B$2)</f>
        <v>40000</v>
      </c>
    </row>
    <row r="34" customFormat="false" ht="15" hidden="false" customHeight="false" outlineLevel="0" collapsed="false">
      <c r="A34" s="0" t="s">
        <v>267</v>
      </c>
      <c r="B34" s="25" t="n">
        <f aca="false">INDEX(Forudsætninger!$D$40:$F$40,1,$B$2)</f>
        <v>0.02</v>
      </c>
    </row>
    <row r="35" customFormat="false" ht="15" hidden="false" customHeight="false" outlineLevel="0" collapsed="false">
      <c r="A35" s="0" t="s">
        <v>268</v>
      </c>
      <c r="B35" s="25" t="n">
        <f aca="false">INDEX(Forudsætninger!$D$41:$F$41,1,$B$2)</f>
        <v>0.22</v>
      </c>
    </row>
    <row r="36" customFormat="false" ht="15" hidden="false" customHeight="false" outlineLevel="0" collapsed="false">
      <c r="A36" s="0" t="s">
        <v>269</v>
      </c>
      <c r="B36" s="25" t="n">
        <f aca="false">INDEX(Forudsætninger!$D$42:$F$42,1,$B$2)</f>
        <v>0.25</v>
      </c>
    </row>
    <row r="37" customFormat="false" ht="15" hidden="false" customHeight="false" outlineLevel="0" collapsed="false">
      <c r="A37" s="0" t="s">
        <v>270</v>
      </c>
      <c r="B37" s="25" t="n">
        <f aca="false">INDEX(Forudsætninger!$D$43:$F$43,1,$B$2)</f>
        <v>0.08</v>
      </c>
    </row>
    <row r="39" customFormat="false" ht="15" hidden="false" customHeight="false" outlineLevel="0" collapsed="false">
      <c r="A39" s="9" t="s">
        <v>271</v>
      </c>
    </row>
    <row r="40" customFormat="false" ht="15" hidden="false" customHeight="false" outlineLevel="0" collapsed="false">
      <c r="A40" s="0" t="s">
        <v>272</v>
      </c>
      <c r="B40" s="24" t="n">
        <f aca="false">$B$5*$B$6</f>
        <v>20</v>
      </c>
    </row>
    <row r="41" customFormat="false" ht="15" hidden="false" customHeight="false" outlineLevel="0" collapsed="false">
      <c r="A41" s="0" t="s">
        <v>273</v>
      </c>
      <c r="B41" s="24" t="n">
        <f aca="false">$B$5*1000*$B$12+$B$5*$B$6*1000*$B$13</f>
        <v>6000000</v>
      </c>
    </row>
    <row r="42" customFormat="false" ht="15" hidden="false" customHeight="false" outlineLevel="0" collapsed="false">
      <c r="A42" s="0" t="s">
        <v>274</v>
      </c>
      <c r="B42" s="24" t="n">
        <f aca="false">B41+$B$14+$B$15</f>
        <v>6250000</v>
      </c>
    </row>
    <row r="43" customFormat="false" ht="15" hidden="false" customHeight="false" outlineLevel="0" collapsed="false">
      <c r="A43" s="0" t="s">
        <v>275</v>
      </c>
      <c r="B43" s="24" t="n">
        <f aca="false">B42/(B40*1000)</f>
        <v>312.5</v>
      </c>
    </row>
    <row r="44" customFormat="false" ht="15" hidden="false" customHeight="false" outlineLevel="0" collapsed="false">
      <c r="A44" s="0" t="s">
        <v>276</v>
      </c>
      <c r="B44" s="24" t="n">
        <f aca="false">B42/$B$5</f>
        <v>625000</v>
      </c>
    </row>
    <row r="45" customFormat="false" ht="15" hidden="false" customHeight="false" outlineLevel="0" collapsed="false">
      <c r="A45" s="0" t="s">
        <v>277</v>
      </c>
      <c r="B45" s="24" t="n">
        <f aca="false">INDEX(Backtest!$C$20:$C$22,MATCH($B$6,Backtest!$A$20:$A$22,0))</f>
        <v>82753.3745948472</v>
      </c>
    </row>
    <row r="46" customFormat="false" ht="15" hidden="false" customHeight="false" outlineLevel="0" collapsed="false">
      <c r="A46" s="0" t="s">
        <v>278</v>
      </c>
      <c r="B46" s="27" t="n">
        <f aca="false">INDEX(Backtest!$D$20:$D$22,MATCH($B$6,Backtest!$A$20:$A$22,0))</f>
        <v>778.812957155865</v>
      </c>
    </row>
    <row r="47" customFormat="false" ht="15" hidden="false" customHeight="false" outlineLevel="0" collapsed="false">
      <c r="A47" s="0" t="s">
        <v>279</v>
      </c>
      <c r="B47" s="26" t="n">
        <f aca="false">($B$23+$B$24+$B$25)*10/$B$28</f>
        <v>18.6327077747989</v>
      </c>
    </row>
    <row r="48" customFormat="false" ht="15" hidden="false" customHeight="false" outlineLevel="0" collapsed="false">
      <c r="A48" s="0" t="s">
        <v>280</v>
      </c>
      <c r="B48" s="26" t="n">
        <f aca="false">($B$26+$B$27)*10/$B$28</f>
        <v>1.90348525469169</v>
      </c>
    </row>
    <row r="50" customFormat="false" ht="15" hidden="false" customHeight="false" outlineLevel="0" collapsed="false">
      <c r="A50" s="9" t="s">
        <v>281</v>
      </c>
    </row>
    <row r="51" customFormat="false" ht="15" hidden="false" customHeight="false" outlineLevel="0" collapsed="false">
      <c r="A51" s="9" t="s">
        <v>282</v>
      </c>
      <c r="C51" s="28" t="n">
        <v>0</v>
      </c>
      <c r="D51" s="28" t="n">
        <v>1</v>
      </c>
      <c r="E51" s="28" t="n">
        <v>2</v>
      </c>
      <c r="F51" s="28" t="n">
        <v>3</v>
      </c>
      <c r="G51" s="28" t="n">
        <v>4</v>
      </c>
      <c r="H51" s="28" t="n">
        <v>5</v>
      </c>
      <c r="I51" s="28" t="n">
        <v>6</v>
      </c>
      <c r="J51" s="28" t="n">
        <v>7</v>
      </c>
      <c r="K51" s="28" t="n">
        <v>8</v>
      </c>
      <c r="L51" s="28" t="n">
        <v>9</v>
      </c>
      <c r="M51" s="28" t="n">
        <v>10</v>
      </c>
      <c r="N51" s="28" t="n">
        <v>11</v>
      </c>
      <c r="O51" s="28" t="n">
        <v>12</v>
      </c>
      <c r="P51" s="28" t="n">
        <v>13</v>
      </c>
      <c r="Q51" s="28" t="n">
        <v>14</v>
      </c>
      <c r="R51" s="28" t="n">
        <v>15</v>
      </c>
      <c r="S51" s="28" t="n">
        <v>16</v>
      </c>
      <c r="T51" s="28" t="n">
        <v>17</v>
      </c>
      <c r="U51" s="28" t="n">
        <v>18</v>
      </c>
      <c r="V51" s="28" t="n">
        <v>19</v>
      </c>
      <c r="W51" s="28" t="n">
        <v>20</v>
      </c>
    </row>
    <row r="52" customFormat="false" ht="15" hidden="false" customHeight="false" outlineLevel="0" collapsed="false">
      <c r="A52" s="29" t="s">
        <v>283</v>
      </c>
      <c r="C52" s="30"/>
      <c r="D52" s="30" t="n">
        <f aca="false">$B$7+D51-1</f>
        <v>2028</v>
      </c>
      <c r="E52" s="30" t="n">
        <f aca="false">$B$7+E51-1</f>
        <v>2029</v>
      </c>
      <c r="F52" s="30" t="n">
        <f aca="false">$B$7+F51-1</f>
        <v>2030</v>
      </c>
      <c r="G52" s="30" t="n">
        <f aca="false">$B$7+G51-1</f>
        <v>2031</v>
      </c>
      <c r="H52" s="30" t="n">
        <f aca="false">$B$7+H51-1</f>
        <v>2032</v>
      </c>
      <c r="I52" s="30" t="n">
        <f aca="false">$B$7+I51-1</f>
        <v>2033</v>
      </c>
      <c r="J52" s="30" t="n">
        <f aca="false">$B$7+J51-1</f>
        <v>2034</v>
      </c>
      <c r="K52" s="30" t="n">
        <f aca="false">$B$7+K51-1</f>
        <v>2035</v>
      </c>
      <c r="L52" s="30" t="n">
        <f aca="false">$B$7+L51-1</f>
        <v>2036</v>
      </c>
      <c r="M52" s="30" t="n">
        <f aca="false">$B$7+M51-1</f>
        <v>2037</v>
      </c>
      <c r="N52" s="30" t="n">
        <f aca="false">$B$7+N51-1</f>
        <v>2038</v>
      </c>
      <c r="O52" s="30" t="n">
        <f aca="false">$B$7+O51-1</f>
        <v>2039</v>
      </c>
      <c r="P52" s="30" t="n">
        <f aca="false">$B$7+P51-1</f>
        <v>2040</v>
      </c>
      <c r="Q52" s="30" t="n">
        <f aca="false">$B$7+Q51-1</f>
        <v>2041</v>
      </c>
      <c r="R52" s="30" t="n">
        <f aca="false">$B$7+R51-1</f>
        <v>2042</v>
      </c>
      <c r="S52" s="30" t="n">
        <f aca="false">$B$7+S51-1</f>
        <v>2043</v>
      </c>
      <c r="T52" s="30" t="n">
        <f aca="false">$B$7+T51-1</f>
        <v>2044</v>
      </c>
      <c r="U52" s="30" t="n">
        <f aca="false">$B$7+U51-1</f>
        <v>2045</v>
      </c>
      <c r="V52" s="30" t="n">
        <f aca="false">$B$7+V51-1</f>
        <v>2046</v>
      </c>
      <c r="W52" s="30" t="n">
        <f aca="false">$B$7+W51-1</f>
        <v>2047</v>
      </c>
    </row>
    <row r="53" customFormat="false" ht="15" hidden="false" customHeight="false" outlineLevel="0" collapsed="false">
      <c r="A53" s="29" t="s">
        <v>284</v>
      </c>
      <c r="C53" s="30" t="n">
        <v>0</v>
      </c>
      <c r="D53" s="30" t="n">
        <f aca="false">IF(D51&lt;=$B$8,1,0)</f>
        <v>1</v>
      </c>
      <c r="E53" s="30" t="n">
        <f aca="false">IF(E51&lt;=$B$8,1,0)</f>
        <v>1</v>
      </c>
      <c r="F53" s="30" t="n">
        <f aca="false">IF(F51&lt;=$B$8,1,0)</f>
        <v>1</v>
      </c>
      <c r="G53" s="30" t="n">
        <f aca="false">IF(G51&lt;=$B$8,1,0)</f>
        <v>1</v>
      </c>
      <c r="H53" s="30" t="n">
        <f aca="false">IF(H51&lt;=$B$8,1,0)</f>
        <v>1</v>
      </c>
      <c r="I53" s="30" t="n">
        <f aca="false">IF(I51&lt;=$B$8,1,0)</f>
        <v>1</v>
      </c>
      <c r="J53" s="30" t="n">
        <f aca="false">IF(J51&lt;=$B$8,1,0)</f>
        <v>1</v>
      </c>
      <c r="K53" s="30" t="n">
        <f aca="false">IF(K51&lt;=$B$8,1,0)</f>
        <v>1</v>
      </c>
      <c r="L53" s="30" t="n">
        <f aca="false">IF(L51&lt;=$B$8,1,0)</f>
        <v>1</v>
      </c>
      <c r="M53" s="30" t="n">
        <f aca="false">IF(M51&lt;=$B$8,1,0)</f>
        <v>1</v>
      </c>
      <c r="N53" s="30" t="n">
        <f aca="false">IF(N51&lt;=$B$8,1,0)</f>
        <v>1</v>
      </c>
      <c r="O53" s="30" t="n">
        <f aca="false">IF(O51&lt;=$B$8,1,0)</f>
        <v>1</v>
      </c>
      <c r="P53" s="30" t="n">
        <f aca="false">IF(P51&lt;=$B$8,1,0)</f>
        <v>1</v>
      </c>
      <c r="Q53" s="30" t="n">
        <f aca="false">IF(Q51&lt;=$B$8,1,0)</f>
        <v>1</v>
      </c>
      <c r="R53" s="30" t="n">
        <f aca="false">IF(R51&lt;=$B$8,1,0)</f>
        <v>1</v>
      </c>
      <c r="S53" s="30" t="n">
        <f aca="false">IF(S51&lt;=$B$8,1,0)</f>
        <v>0</v>
      </c>
      <c r="T53" s="30" t="n">
        <f aca="false">IF(T51&lt;=$B$8,1,0)</f>
        <v>0</v>
      </c>
      <c r="U53" s="30" t="n">
        <f aca="false">IF(U51&lt;=$B$8,1,0)</f>
        <v>0</v>
      </c>
      <c r="V53" s="30" t="n">
        <f aca="false">IF(V51&lt;=$B$8,1,0)</f>
        <v>0</v>
      </c>
      <c r="W53" s="30" t="n">
        <f aca="false">IF(W51&lt;=$B$8,1,0)</f>
        <v>0</v>
      </c>
    </row>
    <row r="54" customFormat="false" ht="15" hidden="false" customHeight="false" outlineLevel="0" collapsed="false">
      <c r="A54" s="29" t="s">
        <v>285</v>
      </c>
      <c r="C54" s="26" t="n">
        <v>1</v>
      </c>
      <c r="D54" s="26" t="n">
        <f aca="false">(1+$B$34)^(D52-2026)</f>
        <v>1.0404</v>
      </c>
      <c r="E54" s="26" t="n">
        <f aca="false">(1+$B$34)^(E52-2026)</f>
        <v>1.061208</v>
      </c>
      <c r="F54" s="26" t="n">
        <f aca="false">(1+$B$34)^(F52-2026)</f>
        <v>1.08243216</v>
      </c>
      <c r="G54" s="26" t="n">
        <f aca="false">(1+$B$34)^(G52-2026)</f>
        <v>1.1040808032</v>
      </c>
      <c r="H54" s="26" t="n">
        <f aca="false">(1+$B$34)^(H52-2026)</f>
        <v>1.126162419264</v>
      </c>
      <c r="I54" s="26" t="n">
        <f aca="false">(1+$B$34)^(I52-2026)</f>
        <v>1.14868566764928</v>
      </c>
      <c r="J54" s="26" t="n">
        <f aca="false">(1+$B$34)^(J52-2026)</f>
        <v>1.17165938100227</v>
      </c>
      <c r="K54" s="26" t="n">
        <f aca="false">(1+$B$34)^(K52-2026)</f>
        <v>1.19509256862231</v>
      </c>
      <c r="L54" s="26" t="n">
        <f aca="false">(1+$B$34)^(L52-2026)</f>
        <v>1.21899441999476</v>
      </c>
      <c r="M54" s="26" t="n">
        <f aca="false">(1+$B$34)^(M52-2026)</f>
        <v>1.24337430839465</v>
      </c>
      <c r="N54" s="26" t="n">
        <f aca="false">(1+$B$34)^(N52-2026)</f>
        <v>1.26824179456255</v>
      </c>
      <c r="O54" s="26" t="n">
        <f aca="false">(1+$B$34)^(O52-2026)</f>
        <v>1.2936066304538</v>
      </c>
      <c r="P54" s="26" t="n">
        <f aca="false">(1+$B$34)^(P52-2026)</f>
        <v>1.31947876306287</v>
      </c>
      <c r="Q54" s="26" t="n">
        <f aca="false">(1+$B$34)^(Q52-2026)</f>
        <v>1.34586833832413</v>
      </c>
      <c r="R54" s="26" t="n">
        <f aca="false">(1+$B$34)^(R52-2026)</f>
        <v>1.37278570509061</v>
      </c>
      <c r="S54" s="26" t="n">
        <f aca="false">(1+$B$34)^(S52-2026)</f>
        <v>1.40024141919242</v>
      </c>
      <c r="T54" s="26" t="n">
        <f aca="false">(1+$B$34)^(T52-2026)</f>
        <v>1.42824624757627</v>
      </c>
      <c r="U54" s="26" t="n">
        <f aca="false">(1+$B$34)^(U52-2026)</f>
        <v>1.4568111725278</v>
      </c>
      <c r="V54" s="26" t="n">
        <f aca="false">(1+$B$34)^(V52-2026)</f>
        <v>1.48594739597836</v>
      </c>
      <c r="W54" s="26" t="n">
        <f aca="false">(1+$B$34)^(W52-2026)</f>
        <v>1.51566634389792</v>
      </c>
    </row>
    <row r="55" customFormat="false" ht="15" hidden="false" customHeight="false" outlineLevel="0" collapsed="false">
      <c r="A55" s="29" t="s">
        <v>286</v>
      </c>
      <c r="C55" s="26" t="n">
        <v>1</v>
      </c>
      <c r="D55" s="26" t="n">
        <f aca="false">(1-$B$10)^(D51-1)</f>
        <v>1</v>
      </c>
      <c r="E55" s="26" t="n">
        <f aca="false">(1-$B$10)^(E51-1)</f>
        <v>0.98</v>
      </c>
      <c r="F55" s="26" t="n">
        <f aca="false">(1-$B$10)^(F51-1)</f>
        <v>0.9604</v>
      </c>
      <c r="G55" s="26" t="n">
        <f aca="false">(1-$B$10)^(G51-1)</f>
        <v>0.941192</v>
      </c>
      <c r="H55" s="26" t="n">
        <f aca="false">(1-$B$10)^(H51-1)</f>
        <v>0.92236816</v>
      </c>
      <c r="I55" s="26" t="n">
        <f aca="false">(1-$B$10)^(I51-1)</f>
        <v>0.9039207968</v>
      </c>
      <c r="J55" s="26" t="n">
        <f aca="false">(1-$B$10)^(J51-1)</f>
        <v>0.885842380864</v>
      </c>
      <c r="K55" s="26" t="n">
        <f aca="false">(1-$B$10)^(K51-1)</f>
        <v>0.86812553324672</v>
      </c>
      <c r="L55" s="26" t="n">
        <f aca="false">(1-$B$10)^(L51-1)</f>
        <v>0.850763022581786</v>
      </c>
      <c r="M55" s="26" t="n">
        <f aca="false">(1-$B$10)^(M51-1)</f>
        <v>0.83374776213015</v>
      </c>
      <c r="N55" s="26" t="n">
        <f aca="false">(1-$B$10)^(N51-1)</f>
        <v>0.817072806887547</v>
      </c>
      <c r="O55" s="26" t="n">
        <f aca="false">(1-$B$10)^(O51-1)</f>
        <v>0.800731350749796</v>
      </c>
      <c r="P55" s="26" t="n">
        <f aca="false">(1-$B$10)^(P51-1)</f>
        <v>0.7847167237348</v>
      </c>
      <c r="Q55" s="26" t="n">
        <f aca="false">(1-$B$10)^(Q51-1)</f>
        <v>0.769022389260104</v>
      </c>
      <c r="R55" s="26" t="n">
        <f aca="false">(1-$B$10)^(R51-1)</f>
        <v>0.753641941474902</v>
      </c>
      <c r="S55" s="26" t="n">
        <f aca="false">(1-$B$10)^(S51-1)</f>
        <v>0.738569102645404</v>
      </c>
      <c r="T55" s="26" t="n">
        <f aca="false">(1-$B$10)^(T51-1)</f>
        <v>0.723797720592496</v>
      </c>
      <c r="U55" s="26" t="n">
        <f aca="false">(1-$B$10)^(U51-1)</f>
        <v>0.709321766180646</v>
      </c>
      <c r="V55" s="26" t="n">
        <f aca="false">(1-$B$10)^(V51-1)</f>
        <v>0.695135330857033</v>
      </c>
      <c r="W55" s="26" t="n">
        <f aca="false">(1-$B$10)^(W51-1)</f>
        <v>0.681232624239892</v>
      </c>
    </row>
    <row r="56" customFormat="false" ht="15" hidden="false" customHeight="false" outlineLevel="0" collapsed="false">
      <c r="A56" s="29" t="s">
        <v>287</v>
      </c>
      <c r="C56" s="24" t="n">
        <v>0</v>
      </c>
      <c r="D56" s="24" t="n">
        <f aca="false">$B$5*$B$45*$B$16*$B$17*(1+$B$18)*(1+$B$19)^(D51-1)*D55*$B$9*D54*D53</f>
        <v>740603.047206777</v>
      </c>
      <c r="E56" s="24" t="n">
        <f aca="false">$B$5*$B$45*$B$16*$B$17*(1+$B$18)*(1+$B$19)^(E51-1)*E55*$B$9*E54*E53</f>
        <v>732903.737928015</v>
      </c>
      <c r="F56" s="24" t="n">
        <f aca="false">$B$5*$B$45*$B$16*$B$17*(1+$B$18)*(1+$B$19)^(F51-1)*F55*$B$9*F54*F53</f>
        <v>725284.470668516</v>
      </c>
      <c r="G56" s="24" t="n">
        <f aca="false">$B$5*$B$45*$B$16*$B$17*(1+$B$18)*(1+$B$19)^(G51-1)*G55*$B$9*G54*G53</f>
        <v>717744.413311446</v>
      </c>
      <c r="H56" s="24" t="n">
        <f aca="false">$B$5*$B$45*$B$16*$B$17*(1+$B$18)*(1+$B$19)^(H51-1)*H55*$B$9*H54*H53</f>
        <v>710282.74239066</v>
      </c>
      <c r="I56" s="24" t="n">
        <f aca="false">$B$5*$B$45*$B$16*$B$17*(1+$B$18)*(1+$B$19)^(I51-1)*I55*$B$9*I54*I53</f>
        <v>702898.643000767</v>
      </c>
      <c r="J56" s="24" t="n">
        <f aca="false">$B$5*$B$45*$B$16*$B$17*(1+$B$18)*(1+$B$19)^(J51-1)*J55*$B$9*J54*J53</f>
        <v>695591.308708131</v>
      </c>
      <c r="K56" s="24" t="n">
        <f aca="false">$B$5*$B$45*$B$16*$B$17*(1+$B$18)*(1+$B$19)^(K51-1)*K55*$B$9*K54*K53</f>
        <v>688359.941462801</v>
      </c>
      <c r="L56" s="24" t="n">
        <f aca="false">$B$5*$B$45*$B$16*$B$17*(1+$B$18)*(1+$B$19)^(L51-1)*L55*$B$9*L54*L53</f>
        <v>681203.751511354</v>
      </c>
      <c r="M56" s="24" t="n">
        <f aca="false">$B$5*$B$45*$B$16*$B$17*(1+$B$18)*(1+$B$19)^(M51-1)*M55*$B$9*M54*M53</f>
        <v>674121.957310642</v>
      </c>
      <c r="N56" s="24" t="n">
        <f aca="false">$B$5*$B$45*$B$16*$B$17*(1+$B$18)*(1+$B$19)^(N51-1)*N55*$B$9*N54*N53</f>
        <v>667113.78544244</v>
      </c>
      <c r="O56" s="24" t="n">
        <f aca="false">$B$5*$B$45*$B$16*$B$17*(1+$B$18)*(1+$B$19)^(O51-1)*O55*$B$9*O54*O53</f>
        <v>660178.470528981</v>
      </c>
      <c r="P56" s="24" t="n">
        <f aca="false">$B$5*$B$45*$B$16*$B$17*(1+$B$18)*(1+$B$19)^(P51-1)*P55*$B$9*P54*P53</f>
        <v>653315.255149361</v>
      </c>
      <c r="Q56" s="24" t="n">
        <f aca="false">$B$5*$B$45*$B$16*$B$17*(1+$B$18)*(1+$B$19)^(Q51-1)*Q55*$B$9*Q54*Q53</f>
        <v>646523.389756828</v>
      </c>
      <c r="R56" s="24" t="n">
        <f aca="false">$B$5*$B$45*$B$16*$B$17*(1+$B$18)*(1+$B$19)^(R51-1)*R55*$B$9*R54*R53</f>
        <v>639802.132596917</v>
      </c>
      <c r="S56" s="24" t="n">
        <f aca="false">$B$5*$B$45*$B$16*$B$17*(1+$B$18)*(1+$B$19)^(S51-1)*S55*$B$9*S54*S53</f>
        <v>0</v>
      </c>
      <c r="T56" s="24" t="n">
        <f aca="false">$B$5*$B$45*$B$16*$B$17*(1+$B$18)*(1+$B$19)^(T51-1)*T55*$B$9*T54*T53</f>
        <v>0</v>
      </c>
      <c r="U56" s="24" t="n">
        <f aca="false">$B$5*$B$45*$B$16*$B$17*(1+$B$18)*(1+$B$19)^(U51-1)*U55*$B$9*U54*U53</f>
        <v>0</v>
      </c>
      <c r="V56" s="24" t="n">
        <f aca="false">$B$5*$B$45*$B$16*$B$17*(1+$B$18)*(1+$B$19)^(V51-1)*V55*$B$9*V54*V53</f>
        <v>0</v>
      </c>
      <c r="W56" s="24" t="n">
        <f aca="false">$B$5*$B$45*$B$16*$B$17*(1+$B$18)*(1+$B$19)^(W51-1)*W55*$B$9*W54*W53</f>
        <v>0</v>
      </c>
    </row>
    <row r="57" customFormat="false" ht="15" hidden="false" customHeight="false" outlineLevel="0" collapsed="false">
      <c r="A57" s="29" t="s">
        <v>288</v>
      </c>
      <c r="C57" s="24" t="n">
        <v>0</v>
      </c>
      <c r="D57" s="24" t="n">
        <f aca="false">$B$5*MAX($B$20*(1+$B$21)^(D51-1),$B$22)*$B$9*D54*D53</f>
        <v>287150.4</v>
      </c>
      <c r="E57" s="24" t="n">
        <f aca="false">$B$5*MAX($B$20*(1+$B$21)^(E51-1),$B$22)*$B$9*E54*E53</f>
        <v>278248.7376</v>
      </c>
      <c r="F57" s="24" t="n">
        <f aca="false">$B$5*MAX($B$20*(1+$B$21)^(F51-1),$B$22)*$B$9*F54*F53</f>
        <v>269623.0267344</v>
      </c>
      <c r="G57" s="24" t="n">
        <f aca="false">$B$5*MAX($B$20*(1+$B$21)^(G51-1),$B$22)*$B$9*G54*G53</f>
        <v>261264.712905634</v>
      </c>
      <c r="H57" s="24" t="n">
        <f aca="false">$B$5*MAX($B$20*(1+$B$21)^(H51-1),$B$22)*$B$9*H54*H53</f>
        <v>253165.506805559</v>
      </c>
      <c r="I57" s="24" t="n">
        <f aca="false">$B$5*MAX($B$20*(1+$B$21)^(I51-1),$B$22)*$B$9*I54*I53</f>
        <v>245317.376094587</v>
      </c>
      <c r="J57" s="24" t="n">
        <f aca="false">$B$5*MAX($B$20*(1+$B$21)^(J51-1),$B$22)*$B$9*J54*J53</f>
        <v>237712.537435654</v>
      </c>
      <c r="K57" s="24" t="n">
        <f aca="false">$B$5*MAX($B$20*(1+$B$21)^(K51-1),$B$22)*$B$9*K54*K53</f>
        <v>230343.448775149</v>
      </c>
      <c r="L57" s="24" t="n">
        <f aca="false">$B$5*MAX($B$20*(1+$B$21)^(L51-1),$B$22)*$B$9*L54*L53</f>
        <v>223202.80186312</v>
      </c>
      <c r="M57" s="24" t="n">
        <f aca="false">$B$5*MAX($B$20*(1+$B$21)^(M51-1),$B$22)*$B$9*M54*M53</f>
        <v>216283.515005363</v>
      </c>
      <c r="N57" s="24" t="n">
        <f aca="false">$B$5*MAX($B$20*(1+$B$21)^(N51-1),$B$22)*$B$9*N54*N53</f>
        <v>209578.726040197</v>
      </c>
      <c r="O57" s="24" t="n">
        <f aca="false">$B$5*MAX($B$20*(1+$B$21)^(O51-1),$B$22)*$B$9*O54*O53</f>
        <v>203081.78553295</v>
      </c>
      <c r="P57" s="24" t="n">
        <f aca="false">$B$5*MAX($B$20*(1+$B$21)^(P51-1),$B$22)*$B$9*P54*P53</f>
        <v>196786.250181429</v>
      </c>
      <c r="Q57" s="24" t="n">
        <f aca="false">$B$5*MAX($B$20*(1+$B$21)^(Q51-1),$B$22)*$B$9*Q54*Q53</f>
        <v>190685.876425805</v>
      </c>
      <c r="R57" s="24" t="n">
        <f aca="false">$B$5*MAX($B$20*(1+$B$21)^(R51-1),$B$22)*$B$9*R54*R53</f>
        <v>184774.614256605</v>
      </c>
      <c r="S57" s="24" t="n">
        <f aca="false">$B$5*MAX($B$20*(1+$B$21)^(S51-1),$B$22)*$B$9*S54*S53</f>
        <v>0</v>
      </c>
      <c r="T57" s="24" t="n">
        <f aca="false">$B$5*MAX($B$20*(1+$B$21)^(T51-1),$B$22)*$B$9*T54*T53</f>
        <v>0</v>
      </c>
      <c r="U57" s="24" t="n">
        <f aca="false">$B$5*MAX($B$20*(1+$B$21)^(U51-1),$B$22)*$B$9*U54*U53</f>
        <v>0</v>
      </c>
      <c r="V57" s="24" t="n">
        <f aca="false">$B$5*MAX($B$20*(1+$B$21)^(V51-1),$B$22)*$B$9*V54*V53</f>
        <v>0</v>
      </c>
      <c r="W57" s="24" t="n">
        <f aca="false">$B$5*MAX($B$20*(1+$B$21)^(W51-1),$B$22)*$B$9*W54*W53</f>
        <v>0</v>
      </c>
    </row>
    <row r="58" customFormat="false" ht="15" hidden="false" customHeight="false" outlineLevel="0" collapsed="false">
      <c r="A58" s="9" t="s">
        <v>289</v>
      </c>
      <c r="C58" s="31" t="n">
        <f aca="false">C56+C57</f>
        <v>0</v>
      </c>
      <c r="D58" s="31" t="n">
        <f aca="false">D56+D57</f>
        <v>1027753.44720678</v>
      </c>
      <c r="E58" s="31" t="n">
        <f aca="false">E56+E57</f>
        <v>1011152.47552802</v>
      </c>
      <c r="F58" s="31" t="n">
        <f aca="false">F56+F57</f>
        <v>994907.497402916</v>
      </c>
      <c r="G58" s="31" t="n">
        <f aca="false">G56+G57</f>
        <v>979009.126217079</v>
      </c>
      <c r="H58" s="31" t="n">
        <f aca="false">H56+H57</f>
        <v>963448.249196219</v>
      </c>
      <c r="I58" s="31" t="n">
        <f aca="false">I56+I57</f>
        <v>948216.019095353</v>
      </c>
      <c r="J58" s="31" t="n">
        <f aca="false">J56+J57</f>
        <v>933303.846143785</v>
      </c>
      <c r="K58" s="31" t="n">
        <f aca="false">K56+K57</f>
        <v>918703.39023795</v>
      </c>
      <c r="L58" s="31" t="n">
        <f aca="false">L56+L57</f>
        <v>904406.553374473</v>
      </c>
      <c r="M58" s="31" t="n">
        <f aca="false">M56+M57</f>
        <v>890405.472316005</v>
      </c>
      <c r="N58" s="31" t="n">
        <f aca="false">N56+N57</f>
        <v>876692.511482637</v>
      </c>
      <c r="O58" s="31" t="n">
        <f aca="false">O56+O57</f>
        <v>863260.256061931</v>
      </c>
      <c r="P58" s="31" t="n">
        <f aca="false">P56+P57</f>
        <v>850101.50533079</v>
      </c>
      <c r="Q58" s="31" t="n">
        <f aca="false">Q56+Q57</f>
        <v>837209.266182633</v>
      </c>
      <c r="R58" s="31" t="n">
        <f aca="false">R56+R57</f>
        <v>824576.746853521</v>
      </c>
      <c r="S58" s="31" t="n">
        <f aca="false">S56+S57</f>
        <v>0</v>
      </c>
      <c r="T58" s="31" t="n">
        <f aca="false">T56+T57</f>
        <v>0</v>
      </c>
      <c r="U58" s="31" t="n">
        <f aca="false">U56+U57</f>
        <v>0</v>
      </c>
      <c r="V58" s="31" t="n">
        <f aca="false">V56+V57</f>
        <v>0</v>
      </c>
      <c r="W58" s="31" t="n">
        <f aca="false">W56+W57</f>
        <v>0</v>
      </c>
    </row>
    <row r="59" customFormat="false" ht="15" hidden="false" customHeight="false" outlineLevel="0" collapsed="false">
      <c r="A59" s="29" t="s">
        <v>290</v>
      </c>
      <c r="C59" s="24" t="n">
        <v>0</v>
      </c>
      <c r="D59" s="24" t="n">
        <f aca="false">-$B$5*$B$46*D55*$B$9*($B$47/$B$11+$B$48)*D54*D53</f>
        <v>-175699.416037505</v>
      </c>
      <c r="E59" s="24" t="n">
        <f aca="false">-$B$5*$B$46*E55*$B$9*($B$47/$B$11+$B$48)*E54*E53</f>
        <v>-175629.13627109</v>
      </c>
      <c r="F59" s="24" t="n">
        <f aca="false">-$B$5*$B$46*F55*$B$9*($B$47/$B$11+$B$48)*F54*F53</f>
        <v>-175558.884616581</v>
      </c>
      <c r="G59" s="24" t="n">
        <f aca="false">-$B$5*$B$46*G55*$B$9*($B$47/$B$11+$B$48)*G54*G53</f>
        <v>-175488.661062735</v>
      </c>
      <c r="H59" s="24" t="n">
        <f aca="false">-$B$5*$B$46*H55*$B$9*($B$47/$B$11+$B$48)*H54*H53</f>
        <v>-175418.46559831</v>
      </c>
      <c r="I59" s="24" t="n">
        <f aca="false">-$B$5*$B$46*I55*$B$9*($B$47/$B$11+$B$48)*I54*I53</f>
        <v>-175348.29821207</v>
      </c>
      <c r="J59" s="24" t="n">
        <f aca="false">-$B$5*$B$46*J55*$B$9*($B$47/$B$11+$B$48)*J54*J53</f>
        <v>-175278.158892786</v>
      </c>
      <c r="K59" s="24" t="n">
        <f aca="false">-$B$5*$B$46*K55*$B$9*($B$47/$B$11+$B$48)*K54*K53</f>
        <v>-175208.047629228</v>
      </c>
      <c r="L59" s="24" t="n">
        <f aca="false">-$B$5*$B$46*L55*$B$9*($B$47/$B$11+$B$48)*L54*L53</f>
        <v>-175137.964410177</v>
      </c>
      <c r="M59" s="24" t="n">
        <f aca="false">-$B$5*$B$46*M55*$B$9*($B$47/$B$11+$B$48)*M54*M53</f>
        <v>-175067.909224413</v>
      </c>
      <c r="N59" s="24" t="n">
        <f aca="false">-$B$5*$B$46*N55*$B$9*($B$47/$B$11+$B$48)*N54*N53</f>
        <v>-174997.882060723</v>
      </c>
      <c r="O59" s="24" t="n">
        <f aca="false">-$B$5*$B$46*O55*$B$9*($B$47/$B$11+$B$48)*O54*O53</f>
        <v>-174927.882907899</v>
      </c>
      <c r="P59" s="24" t="n">
        <f aca="false">-$B$5*$B$46*P55*$B$9*($B$47/$B$11+$B$48)*P54*P53</f>
        <v>-174857.911754735</v>
      </c>
      <c r="Q59" s="24" t="n">
        <f aca="false">-$B$5*$B$46*Q55*$B$9*($B$47/$B$11+$B$48)*Q54*Q53</f>
        <v>-174787.968590033</v>
      </c>
      <c r="R59" s="24" t="n">
        <f aca="false">-$B$5*$B$46*R55*$B$9*($B$47/$B$11+$B$48)*R54*R53</f>
        <v>-174718.053402597</v>
      </c>
      <c r="S59" s="24" t="n">
        <f aca="false">-$B$5*$B$46*S55*$B$9*($B$47/$B$11+$B$48)*S54*S53</f>
        <v>-0</v>
      </c>
      <c r="T59" s="24" t="n">
        <f aca="false">-$B$5*$B$46*T55*$B$9*($B$47/$B$11+$B$48)*T54*T53</f>
        <v>-0</v>
      </c>
      <c r="U59" s="24" t="n">
        <f aca="false">-$B$5*$B$46*U55*$B$9*($B$47/$B$11+$B$48)*U54*U53</f>
        <v>-0</v>
      </c>
      <c r="V59" s="24" t="n">
        <f aca="false">-$B$5*$B$46*V55*$B$9*($B$47/$B$11+$B$48)*V54*V53</f>
        <v>-0</v>
      </c>
      <c r="W59" s="24" t="n">
        <f aca="false">-$B$5*$B$46*W55*$B$9*($B$47/$B$11+$B$48)*W54*W53</f>
        <v>-0</v>
      </c>
    </row>
    <row r="60" customFormat="false" ht="15" hidden="false" customHeight="false" outlineLevel="0" collapsed="false">
      <c r="A60" s="29" t="s">
        <v>291</v>
      </c>
      <c r="C60" s="24" t="n">
        <v>0</v>
      </c>
      <c r="D60" s="24" t="n">
        <f aca="false">-($B$29+$B$30)*$B$41*D54*D53</f>
        <v>-118605.6</v>
      </c>
      <c r="E60" s="24" t="n">
        <f aca="false">-($B$29+$B$30)*$B$41*E54*E53</f>
        <v>-120977.712</v>
      </c>
      <c r="F60" s="24" t="n">
        <f aca="false">-($B$29+$B$30)*$B$41*F54*F53</f>
        <v>-123397.26624</v>
      </c>
      <c r="G60" s="24" t="n">
        <f aca="false">-($B$29+$B$30)*$B$41*G54*G53</f>
        <v>-125865.2115648</v>
      </c>
      <c r="H60" s="24" t="n">
        <f aca="false">-($B$29+$B$30)*$B$41*H54*H53</f>
        <v>-128382.515796096</v>
      </c>
      <c r="I60" s="24" t="n">
        <f aca="false">-($B$29+$B$30)*$B$41*I54*I53</f>
        <v>-130950.166112018</v>
      </c>
      <c r="J60" s="24" t="n">
        <f aca="false">-($B$29+$B$30)*$B$41*J54*J53</f>
        <v>-133569.169434258</v>
      </c>
      <c r="K60" s="24" t="n">
        <f aca="false">-($B$29+$B$30)*$B$41*K54*K53</f>
        <v>-136240.552822943</v>
      </c>
      <c r="L60" s="24" t="n">
        <f aca="false">-($B$29+$B$30)*$B$41*L54*L53</f>
        <v>-138965.363879402</v>
      </c>
      <c r="M60" s="24" t="n">
        <f aca="false">-($B$29+$B$30)*$B$41*M54*M53</f>
        <v>-141744.67115699</v>
      </c>
      <c r="N60" s="24" t="n">
        <f aca="false">-($B$29+$B$30)*$B$41*N54*N53</f>
        <v>-144579.56458013</v>
      </c>
      <c r="O60" s="24" t="n">
        <f aca="false">-($B$29+$B$30)*$B$41*O54*O53</f>
        <v>-147471.155871733</v>
      </c>
      <c r="P60" s="24" t="n">
        <f aca="false">-($B$29+$B$30)*$B$41*P54*P53</f>
        <v>-150420.578989167</v>
      </c>
      <c r="Q60" s="24" t="n">
        <f aca="false">-($B$29+$B$30)*$B$41*Q54*Q53</f>
        <v>-153428.990568951</v>
      </c>
      <c r="R60" s="24" t="n">
        <f aca="false">-($B$29+$B$30)*$B$41*R54*R53</f>
        <v>-156497.57038033</v>
      </c>
      <c r="S60" s="24" t="n">
        <f aca="false">-($B$29+$B$30)*$B$41*S54*S53</f>
        <v>-0</v>
      </c>
      <c r="T60" s="24" t="n">
        <f aca="false">-($B$29+$B$30)*$B$41*T54*T53</f>
        <v>-0</v>
      </c>
      <c r="U60" s="24" t="n">
        <f aca="false">-($B$29+$B$30)*$B$41*U54*U53</f>
        <v>-0</v>
      </c>
      <c r="V60" s="24" t="n">
        <f aca="false">-($B$29+$B$30)*$B$41*V54*V53</f>
        <v>-0</v>
      </c>
      <c r="W60" s="24" t="n">
        <f aca="false">-($B$29+$B$30)*$B$41*W54*W53</f>
        <v>-0</v>
      </c>
    </row>
    <row r="61" customFormat="false" ht="15" hidden="false" customHeight="false" outlineLevel="0" collapsed="false">
      <c r="A61" s="29" t="s">
        <v>292</v>
      </c>
      <c r="C61" s="24" t="n">
        <f aca="false">-$B$31*C58</f>
        <v>-0</v>
      </c>
      <c r="D61" s="24" t="n">
        <f aca="false">-$B$31*D58</f>
        <v>-102775.344720678</v>
      </c>
      <c r="E61" s="24" t="n">
        <f aca="false">-$B$31*E58</f>
        <v>-101115.247552802</v>
      </c>
      <c r="F61" s="24" t="n">
        <f aca="false">-$B$31*F58</f>
        <v>-99490.7497402916</v>
      </c>
      <c r="G61" s="24" t="n">
        <f aca="false">-$B$31*G58</f>
        <v>-97900.912621708</v>
      </c>
      <c r="H61" s="24" t="n">
        <f aca="false">-$B$31*H58</f>
        <v>-96344.8249196219</v>
      </c>
      <c r="I61" s="24" t="n">
        <f aca="false">-$B$31*I58</f>
        <v>-94821.6019095353</v>
      </c>
      <c r="J61" s="24" t="n">
        <f aca="false">-$B$31*J58</f>
        <v>-93330.3846143785</v>
      </c>
      <c r="K61" s="24" t="n">
        <f aca="false">-$B$31*K58</f>
        <v>-91870.339023795</v>
      </c>
      <c r="L61" s="24" t="n">
        <f aca="false">-$B$31*L58</f>
        <v>-90440.6553374473</v>
      </c>
      <c r="M61" s="24" t="n">
        <f aca="false">-$B$31*M58</f>
        <v>-89040.5472316005</v>
      </c>
      <c r="N61" s="24" t="n">
        <f aca="false">-$B$31*N58</f>
        <v>-87669.2511482637</v>
      </c>
      <c r="O61" s="24" t="n">
        <f aca="false">-$B$31*O58</f>
        <v>-86326.0256061931</v>
      </c>
      <c r="P61" s="24" t="n">
        <f aca="false">-$B$31*P58</f>
        <v>-85010.150533079</v>
      </c>
      <c r="Q61" s="24" t="n">
        <f aca="false">-$B$31*Q58</f>
        <v>-83720.9266182633</v>
      </c>
      <c r="R61" s="24" t="n">
        <f aca="false">-$B$31*R58</f>
        <v>-82457.6746853521</v>
      </c>
      <c r="S61" s="24" t="n">
        <f aca="false">-$B$31*S58</f>
        <v>-0</v>
      </c>
      <c r="T61" s="24" t="n">
        <f aca="false">-$B$31*T58</f>
        <v>-0</v>
      </c>
      <c r="U61" s="24" t="n">
        <f aca="false">-$B$31*U58</f>
        <v>-0</v>
      </c>
      <c r="V61" s="24" t="n">
        <f aca="false">-$B$31*V58</f>
        <v>-0</v>
      </c>
      <c r="W61" s="24" t="n">
        <f aca="false">-$B$31*W58</f>
        <v>-0</v>
      </c>
    </row>
    <row r="62" customFormat="false" ht="15" hidden="false" customHeight="false" outlineLevel="0" collapsed="false">
      <c r="A62" s="29" t="s">
        <v>293</v>
      </c>
      <c r="C62" s="24" t="n">
        <v>0</v>
      </c>
      <c r="D62" s="24" t="n">
        <f aca="false">-$B$32*$B$5*D54*D53</f>
        <v>-62424</v>
      </c>
      <c r="E62" s="24" t="n">
        <f aca="false">-$B$32*$B$5*E54*E53</f>
        <v>-63672.48</v>
      </c>
      <c r="F62" s="24" t="n">
        <f aca="false">-$B$32*$B$5*F54*F53</f>
        <v>-64945.9296</v>
      </c>
      <c r="G62" s="24" t="n">
        <f aca="false">-$B$32*$B$5*G54*G53</f>
        <v>-66244.848192</v>
      </c>
      <c r="H62" s="24" t="n">
        <f aca="false">-$B$32*$B$5*H54*H53</f>
        <v>-67569.74515584</v>
      </c>
      <c r="I62" s="24" t="n">
        <f aca="false">-$B$32*$B$5*I54*I53</f>
        <v>-68921.1400589568</v>
      </c>
      <c r="J62" s="24" t="n">
        <f aca="false">-$B$32*$B$5*J54*J53</f>
        <v>-70299.562860136</v>
      </c>
      <c r="K62" s="24" t="n">
        <f aca="false">-$B$32*$B$5*K54*K53</f>
        <v>-71705.5541173387</v>
      </c>
      <c r="L62" s="24" t="n">
        <f aca="false">-$B$32*$B$5*L54*L53</f>
        <v>-73139.6651996854</v>
      </c>
      <c r="M62" s="24" t="n">
        <f aca="false">-$B$32*$B$5*M54*M53</f>
        <v>-74602.4585036792</v>
      </c>
      <c r="N62" s="24" t="n">
        <f aca="false">-$B$32*$B$5*N54*N53</f>
        <v>-76094.5076737527</v>
      </c>
      <c r="O62" s="24" t="n">
        <f aca="false">-$B$32*$B$5*O54*O53</f>
        <v>-77616.3978272278</v>
      </c>
      <c r="P62" s="24" t="n">
        <f aca="false">-$B$32*$B$5*P54*P53</f>
        <v>-79168.7257837723</v>
      </c>
      <c r="Q62" s="24" t="n">
        <f aca="false">-$B$32*$B$5*Q54*Q53</f>
        <v>-80752.1002994478</v>
      </c>
      <c r="R62" s="24" t="n">
        <f aca="false">-$B$32*$B$5*R54*R53</f>
        <v>-82367.1423054368</v>
      </c>
      <c r="S62" s="24" t="n">
        <f aca="false">-$B$32*$B$5*S54*S53</f>
        <v>-0</v>
      </c>
      <c r="T62" s="24" t="n">
        <f aca="false">-$B$32*$B$5*T54*T53</f>
        <v>-0</v>
      </c>
      <c r="U62" s="24" t="n">
        <f aca="false">-$B$32*$B$5*U54*U53</f>
        <v>-0</v>
      </c>
      <c r="V62" s="24" t="n">
        <f aca="false">-$B$32*$B$5*V54*V53</f>
        <v>-0</v>
      </c>
      <c r="W62" s="24" t="n">
        <f aca="false">-$B$32*$B$5*W54*W53</f>
        <v>-0</v>
      </c>
    </row>
    <row r="63" customFormat="false" ht="15" hidden="false" customHeight="false" outlineLevel="0" collapsed="false">
      <c r="A63" s="29" t="s">
        <v>294</v>
      </c>
      <c r="C63" s="24" t="n">
        <v>0</v>
      </c>
      <c r="D63" s="24" t="n">
        <f aca="false">-$B$33*D54*D53</f>
        <v>-41616</v>
      </c>
      <c r="E63" s="24" t="n">
        <f aca="false">-$B$33*E54*E53</f>
        <v>-42448.32</v>
      </c>
      <c r="F63" s="24" t="n">
        <f aca="false">-$B$33*F54*F53</f>
        <v>-43297.2864</v>
      </c>
      <c r="G63" s="24" t="n">
        <f aca="false">-$B$33*G54*G53</f>
        <v>-44163.232128</v>
      </c>
      <c r="H63" s="24" t="n">
        <f aca="false">-$B$33*H54*H53</f>
        <v>-45046.49677056</v>
      </c>
      <c r="I63" s="24" t="n">
        <f aca="false">-$B$33*I54*I53</f>
        <v>-45947.4267059712</v>
      </c>
      <c r="J63" s="24" t="n">
        <f aca="false">-$B$33*J54*J53</f>
        <v>-46866.3752400906</v>
      </c>
      <c r="K63" s="24" t="n">
        <f aca="false">-$B$33*K54*K53</f>
        <v>-47803.7027448924</v>
      </c>
      <c r="L63" s="24" t="n">
        <f aca="false">-$B$33*L54*L53</f>
        <v>-48759.7767997903</v>
      </c>
      <c r="M63" s="24" t="n">
        <f aca="false">-$B$33*M54*M53</f>
        <v>-49734.9723357861</v>
      </c>
      <c r="N63" s="24" t="n">
        <f aca="false">-$B$33*N54*N53</f>
        <v>-50729.6717825018</v>
      </c>
      <c r="O63" s="24" t="n">
        <f aca="false">-$B$33*O54*O53</f>
        <v>-51744.2652181519</v>
      </c>
      <c r="P63" s="24" t="n">
        <f aca="false">-$B$33*P54*P53</f>
        <v>-52779.1505225149</v>
      </c>
      <c r="Q63" s="24" t="n">
        <f aca="false">-$B$33*Q54*Q53</f>
        <v>-53834.7335329652</v>
      </c>
      <c r="R63" s="24" t="n">
        <f aca="false">-$B$33*R54*R53</f>
        <v>-54911.4282036245</v>
      </c>
      <c r="S63" s="24" t="n">
        <f aca="false">-$B$33*S54*S53</f>
        <v>-0</v>
      </c>
      <c r="T63" s="24" t="n">
        <f aca="false">-$B$33*T54*T53</f>
        <v>-0</v>
      </c>
      <c r="U63" s="24" t="n">
        <f aca="false">-$B$33*U54*U53</f>
        <v>-0</v>
      </c>
      <c r="V63" s="24" t="n">
        <f aca="false">-$B$33*V54*V53</f>
        <v>-0</v>
      </c>
      <c r="W63" s="24" t="n">
        <f aca="false">-$B$33*W54*W53</f>
        <v>-0</v>
      </c>
    </row>
    <row r="64" customFormat="false" ht="15" hidden="false" customHeight="false" outlineLevel="0" collapsed="false">
      <c r="A64" s="9" t="s">
        <v>295</v>
      </c>
      <c r="C64" s="31" t="n">
        <f aca="false">C58+C59+C60+C61+C62+C63</f>
        <v>0</v>
      </c>
      <c r="D64" s="31" t="n">
        <f aca="false">D58+D59+D60+D61+D62+D63</f>
        <v>526633.086448595</v>
      </c>
      <c r="E64" s="31" t="n">
        <f aca="false">E58+E59+E60+E61+E62+E63</f>
        <v>507309.579704124</v>
      </c>
      <c r="F64" s="31" t="n">
        <f aca="false">F58+F59+F60+F61+F62+F63</f>
        <v>488217.380806043</v>
      </c>
      <c r="G64" s="31" t="n">
        <f aca="false">G58+G59+G60+G61+G62+G63</f>
        <v>469346.260647837</v>
      </c>
      <c r="H64" s="31" t="n">
        <f aca="false">H58+H59+H60+H61+H62+H63</f>
        <v>450686.200955791</v>
      </c>
      <c r="I64" s="31" t="n">
        <f aca="false">I58+I59+I60+I61+I62+I63</f>
        <v>432227.386096802</v>
      </c>
      <c r="J64" s="31" t="n">
        <f aca="false">J58+J59+J60+J61+J62+J63</f>
        <v>413960.195102136</v>
      </c>
      <c r="K64" s="31" t="n">
        <f aca="false">K58+K59+K60+K61+K62+K63</f>
        <v>395875.193899752</v>
      </c>
      <c r="L64" s="31" t="n">
        <f aca="false">L58+L59+L60+L61+L62+L63</f>
        <v>377963.127747971</v>
      </c>
      <c r="M64" s="31" t="n">
        <f aca="false">M58+M59+M60+M61+M62+M63</f>
        <v>360214.913863536</v>
      </c>
      <c r="N64" s="31" t="n">
        <f aca="false">N58+N59+N60+N61+N62+N63</f>
        <v>342621.634237265</v>
      </c>
      <c r="O64" s="31" t="n">
        <f aca="false">O58+O59+O60+O61+O62+O63</f>
        <v>325174.528630727</v>
      </c>
      <c r="P64" s="31" t="n">
        <f aca="false">P58+P59+P60+P61+P62+P63</f>
        <v>307864.987747521</v>
      </c>
      <c r="Q64" s="31" t="n">
        <f aca="false">Q58+Q59+Q60+Q61+Q62+Q63</f>
        <v>290684.546572973</v>
      </c>
      <c r="R64" s="31" t="n">
        <f aca="false">R58+R59+R60+R61+R62+R63</f>
        <v>273624.877876181</v>
      </c>
      <c r="S64" s="31" t="n">
        <f aca="false">S58+S59+S60+S61+S62+S63</f>
        <v>0</v>
      </c>
      <c r="T64" s="31" t="n">
        <f aca="false">T58+T59+T60+T61+T62+T63</f>
        <v>0</v>
      </c>
      <c r="U64" s="31" t="n">
        <f aca="false">U58+U59+U60+U61+U62+U63</f>
        <v>0</v>
      </c>
      <c r="V64" s="31" t="n">
        <f aca="false">V58+V59+V60+V61+V62+V63</f>
        <v>0</v>
      </c>
      <c r="W64" s="31" t="n">
        <f aca="false">W58+W59+W60+W61+W62+W63</f>
        <v>0</v>
      </c>
    </row>
    <row r="65" customFormat="false" ht="15" hidden="false" customHeight="false" outlineLevel="0" collapsed="false">
      <c r="A65" s="29" t="s">
        <v>296</v>
      </c>
      <c r="C65" s="24" t="n">
        <f aca="false">-$B$42</f>
        <v>-6250000</v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</row>
    <row r="66" customFormat="false" ht="15" hidden="false" customHeight="false" outlineLevel="0" collapsed="false">
      <c r="A66" s="9" t="s">
        <v>297</v>
      </c>
      <c r="C66" s="31" t="n">
        <f aca="false">C64+C65</f>
        <v>-6250000</v>
      </c>
      <c r="D66" s="31" t="n">
        <f aca="false">D64+D65</f>
        <v>526633.086448595</v>
      </c>
      <c r="E66" s="31" t="n">
        <f aca="false">E64+E65</f>
        <v>507309.579704124</v>
      </c>
      <c r="F66" s="31" t="n">
        <f aca="false">F64+F65</f>
        <v>488217.380806043</v>
      </c>
      <c r="G66" s="31" t="n">
        <f aca="false">G64+G65</f>
        <v>469346.260647837</v>
      </c>
      <c r="H66" s="31" t="n">
        <f aca="false">H64+H65</f>
        <v>450686.200955791</v>
      </c>
      <c r="I66" s="31" t="n">
        <f aca="false">I64+I65</f>
        <v>432227.386096802</v>
      </c>
      <c r="J66" s="31" t="n">
        <f aca="false">J64+J65</f>
        <v>413960.195102136</v>
      </c>
      <c r="K66" s="31" t="n">
        <f aca="false">K64+K65</f>
        <v>395875.193899752</v>
      </c>
      <c r="L66" s="31" t="n">
        <f aca="false">L64+L65</f>
        <v>377963.127747971</v>
      </c>
      <c r="M66" s="31" t="n">
        <f aca="false">M64+M65</f>
        <v>360214.913863536</v>
      </c>
      <c r="N66" s="31" t="n">
        <f aca="false">N64+N65</f>
        <v>342621.634237265</v>
      </c>
      <c r="O66" s="31" t="n">
        <f aca="false">O64+O65</f>
        <v>325174.528630727</v>
      </c>
      <c r="P66" s="31" t="n">
        <f aca="false">P64+P65</f>
        <v>307864.987747521</v>
      </c>
      <c r="Q66" s="31" t="n">
        <f aca="false">Q64+Q65</f>
        <v>290684.546572973</v>
      </c>
      <c r="R66" s="31" t="n">
        <f aca="false">R64+R65</f>
        <v>273624.877876181</v>
      </c>
      <c r="S66" s="31" t="n">
        <f aca="false">S64+S65</f>
        <v>0</v>
      </c>
      <c r="T66" s="31" t="n">
        <f aca="false">T64+T65</f>
        <v>0</v>
      </c>
      <c r="U66" s="31" t="n">
        <f aca="false">U64+U65</f>
        <v>0</v>
      </c>
      <c r="V66" s="31" t="n">
        <f aca="false">V64+V65</f>
        <v>0</v>
      </c>
      <c r="W66" s="31" t="n">
        <f aca="false">W64+W65</f>
        <v>0</v>
      </c>
    </row>
    <row r="68" customFormat="false" ht="15" hidden="false" customHeight="false" outlineLevel="0" collapsed="false">
      <c r="A68" s="9" t="s">
        <v>298</v>
      </c>
    </row>
    <row r="69" customFormat="false" ht="15" hidden="false" customHeight="false" outlineLevel="0" collapsed="false">
      <c r="A69" s="29" t="s">
        <v>299</v>
      </c>
      <c r="C69" s="24" t="n">
        <v>0</v>
      </c>
      <c r="D69" s="24" t="n">
        <f aca="false">$B$42</f>
        <v>6250000</v>
      </c>
      <c r="E69" s="24" t="n">
        <f aca="false">D71</f>
        <v>4687500</v>
      </c>
      <c r="F69" s="24" t="n">
        <f aca="false">E71</f>
        <v>3515625</v>
      </c>
      <c r="G69" s="24" t="n">
        <f aca="false">F71</f>
        <v>2636718.75</v>
      </c>
      <c r="H69" s="24" t="n">
        <f aca="false">G71</f>
        <v>1977539.0625</v>
      </c>
      <c r="I69" s="24" t="n">
        <f aca="false">H71</f>
        <v>1483154.296875</v>
      </c>
      <c r="J69" s="24" t="n">
        <f aca="false">I71</f>
        <v>1112365.72265625</v>
      </c>
      <c r="K69" s="24" t="n">
        <f aca="false">J71</f>
        <v>834274.291992188</v>
      </c>
      <c r="L69" s="24" t="n">
        <f aca="false">K71</f>
        <v>625705.718994141</v>
      </c>
      <c r="M69" s="24" t="n">
        <f aca="false">L71</f>
        <v>469279.289245605</v>
      </c>
      <c r="N69" s="24" t="n">
        <f aca="false">M71</f>
        <v>351959.466934204</v>
      </c>
      <c r="O69" s="24" t="n">
        <f aca="false">N71</f>
        <v>263969.600200653</v>
      </c>
      <c r="P69" s="24" t="n">
        <f aca="false">O71</f>
        <v>197977.20015049</v>
      </c>
      <c r="Q69" s="24" t="n">
        <f aca="false">P71</f>
        <v>148482.900112867</v>
      </c>
      <c r="R69" s="24" t="n">
        <f aca="false">Q71</f>
        <v>111362.175084651</v>
      </c>
      <c r="S69" s="24" t="n">
        <f aca="false">R71</f>
        <v>0</v>
      </c>
      <c r="T69" s="24" t="n">
        <f aca="false">S71</f>
        <v>0</v>
      </c>
      <c r="U69" s="24" t="n">
        <f aca="false">T71</f>
        <v>0</v>
      </c>
      <c r="V69" s="24" t="n">
        <f aca="false">U71</f>
        <v>0</v>
      </c>
      <c r="W69" s="24" t="n">
        <f aca="false">V71</f>
        <v>0</v>
      </c>
    </row>
    <row r="70" customFormat="false" ht="15" hidden="false" customHeight="false" outlineLevel="0" collapsed="false">
      <c r="A70" s="29" t="s">
        <v>300</v>
      </c>
      <c r="C70" s="24" t="n">
        <v>0</v>
      </c>
      <c r="D70" s="24" t="n">
        <f aca="false">IF(D51=$B$8,D69,D69*$B$36)*D53</f>
        <v>1562500</v>
      </c>
      <c r="E70" s="24" t="n">
        <f aca="false">IF(E51=$B$8,E69,E69*$B$36)*E53</f>
        <v>1171875</v>
      </c>
      <c r="F70" s="24" t="n">
        <f aca="false">IF(F51=$B$8,F69,F69*$B$36)*F53</f>
        <v>878906.25</v>
      </c>
      <c r="G70" s="24" t="n">
        <f aca="false">IF(G51=$B$8,G69,G69*$B$36)*G53</f>
        <v>659179.6875</v>
      </c>
      <c r="H70" s="24" t="n">
        <f aca="false">IF(H51=$B$8,H69,H69*$B$36)*H53</f>
        <v>494384.765625</v>
      </c>
      <c r="I70" s="24" t="n">
        <f aca="false">IF(I51=$B$8,I69,I69*$B$36)*I53</f>
        <v>370788.57421875</v>
      </c>
      <c r="J70" s="24" t="n">
        <f aca="false">IF(J51=$B$8,J69,J69*$B$36)*J53</f>
        <v>278091.430664063</v>
      </c>
      <c r="K70" s="24" t="n">
        <f aca="false">IF(K51=$B$8,K69,K69*$B$36)*K53</f>
        <v>208568.572998047</v>
      </c>
      <c r="L70" s="24" t="n">
        <f aca="false">IF(L51=$B$8,L69,L69*$B$36)*L53</f>
        <v>156426.429748535</v>
      </c>
      <c r="M70" s="24" t="n">
        <f aca="false">IF(M51=$B$8,M69,M69*$B$36)*M53</f>
        <v>117319.822311401</v>
      </c>
      <c r="N70" s="24" t="n">
        <f aca="false">IF(N51=$B$8,N69,N69*$B$36)*N53</f>
        <v>87989.866733551</v>
      </c>
      <c r="O70" s="24" t="n">
        <f aca="false">IF(O51=$B$8,O69,O69*$B$36)*O53</f>
        <v>65992.4000501633</v>
      </c>
      <c r="P70" s="24" t="n">
        <f aca="false">IF(P51=$B$8,P69,P69*$B$36)*P53</f>
        <v>49494.3000376225</v>
      </c>
      <c r="Q70" s="24" t="n">
        <f aca="false">IF(Q51=$B$8,Q69,Q69*$B$36)*Q53</f>
        <v>37120.7250282168</v>
      </c>
      <c r="R70" s="24" t="n">
        <f aca="false">IF(R51=$B$8,R69,R69*$B$36)*R53</f>
        <v>111362.175084651</v>
      </c>
      <c r="S70" s="24" t="n">
        <f aca="false">IF(S51=$B$8,S69,S69*$B$36)*S53</f>
        <v>0</v>
      </c>
      <c r="T70" s="24" t="n">
        <f aca="false">IF(T51=$B$8,T69,T69*$B$36)*T53</f>
        <v>0</v>
      </c>
      <c r="U70" s="24" t="n">
        <f aca="false">IF(U51=$B$8,U69,U69*$B$36)*U53</f>
        <v>0</v>
      </c>
      <c r="V70" s="24" t="n">
        <f aca="false">IF(V51=$B$8,V69,V69*$B$36)*V53</f>
        <v>0</v>
      </c>
      <c r="W70" s="24" t="n">
        <f aca="false">IF(W51=$B$8,W69,W69*$B$36)*W53</f>
        <v>0</v>
      </c>
    </row>
    <row r="71" customFormat="false" ht="15" hidden="false" customHeight="false" outlineLevel="0" collapsed="false">
      <c r="A71" s="29" t="s">
        <v>301</v>
      </c>
      <c r="C71" s="24" t="n">
        <v>0</v>
      </c>
      <c r="D71" s="24" t="n">
        <f aca="false">D69-D70</f>
        <v>4687500</v>
      </c>
      <c r="E71" s="24" t="n">
        <f aca="false">E69-E70</f>
        <v>3515625</v>
      </c>
      <c r="F71" s="24" t="n">
        <f aca="false">F69-F70</f>
        <v>2636718.75</v>
      </c>
      <c r="G71" s="24" t="n">
        <f aca="false">G69-G70</f>
        <v>1977539.0625</v>
      </c>
      <c r="H71" s="24" t="n">
        <f aca="false">H69-H70</f>
        <v>1483154.296875</v>
      </c>
      <c r="I71" s="24" t="n">
        <f aca="false">I69-I70</f>
        <v>1112365.72265625</v>
      </c>
      <c r="J71" s="24" t="n">
        <f aca="false">J69-J70</f>
        <v>834274.291992188</v>
      </c>
      <c r="K71" s="24" t="n">
        <f aca="false">K69-K70</f>
        <v>625705.718994141</v>
      </c>
      <c r="L71" s="24" t="n">
        <f aca="false">L69-L70</f>
        <v>469279.289245605</v>
      </c>
      <c r="M71" s="24" t="n">
        <f aca="false">M69-M70</f>
        <v>351959.466934204</v>
      </c>
      <c r="N71" s="24" t="n">
        <f aca="false">N69-N70</f>
        <v>263969.600200653</v>
      </c>
      <c r="O71" s="24" t="n">
        <f aca="false">O69-O70</f>
        <v>197977.20015049</v>
      </c>
      <c r="P71" s="24" t="n">
        <f aca="false">P69-P70</f>
        <v>148482.900112867</v>
      </c>
      <c r="Q71" s="24" t="n">
        <f aca="false">Q69-Q70</f>
        <v>111362.175084651</v>
      </c>
      <c r="R71" s="24" t="n">
        <f aca="false">R69-R70</f>
        <v>0</v>
      </c>
      <c r="S71" s="24" t="n">
        <f aca="false">S69-S70</f>
        <v>0</v>
      </c>
      <c r="T71" s="24" t="n">
        <f aca="false">T69-T70</f>
        <v>0</v>
      </c>
      <c r="U71" s="24" t="n">
        <f aca="false">U69-U70</f>
        <v>0</v>
      </c>
      <c r="V71" s="24" t="n">
        <f aca="false">V69-V70</f>
        <v>0</v>
      </c>
      <c r="W71" s="24" t="n">
        <f aca="false">W69-W70</f>
        <v>0</v>
      </c>
    </row>
    <row r="72" customFormat="false" ht="15" hidden="false" customHeight="false" outlineLevel="0" collapsed="false">
      <c r="A72" s="29" t="s">
        <v>302</v>
      </c>
      <c r="C72" s="24" t="n">
        <v>0</v>
      </c>
      <c r="D72" s="24" t="n">
        <f aca="false">D64-D70</f>
        <v>-1035866.91355141</v>
      </c>
      <c r="E72" s="24" t="n">
        <f aca="false">E64-E70</f>
        <v>-664565.420295876</v>
      </c>
      <c r="F72" s="24" t="n">
        <f aca="false">F64-F70</f>
        <v>-390688.869193957</v>
      </c>
      <c r="G72" s="24" t="n">
        <f aca="false">G64-G70</f>
        <v>-189833.426852163</v>
      </c>
      <c r="H72" s="24" t="n">
        <f aca="false">H64-H70</f>
        <v>-43698.5646692088</v>
      </c>
      <c r="I72" s="24" t="n">
        <f aca="false">I64-I70</f>
        <v>61438.8118780516</v>
      </c>
      <c r="J72" s="24" t="n">
        <f aca="false">J64-J70</f>
        <v>135868.764438074</v>
      </c>
      <c r="K72" s="24" t="n">
        <f aca="false">K64-K70</f>
        <v>187306.620901705</v>
      </c>
      <c r="L72" s="24" t="n">
        <f aca="false">L64-L70</f>
        <v>221536.697999436</v>
      </c>
      <c r="M72" s="24" t="n">
        <f aca="false">M64-M70</f>
        <v>242895.091552135</v>
      </c>
      <c r="N72" s="24" t="n">
        <f aca="false">N64-N70</f>
        <v>254631.767503714</v>
      </c>
      <c r="O72" s="24" t="n">
        <f aca="false">O64-O70</f>
        <v>259182.128580564</v>
      </c>
      <c r="P72" s="24" t="n">
        <f aca="false">P64-P70</f>
        <v>258370.687709899</v>
      </c>
      <c r="Q72" s="24" t="n">
        <f aca="false">Q64-Q70</f>
        <v>253563.821544756</v>
      </c>
      <c r="R72" s="24" t="n">
        <f aca="false">R64-R70</f>
        <v>162262.70279153</v>
      </c>
      <c r="S72" s="24" t="n">
        <f aca="false">S64-S70</f>
        <v>0</v>
      </c>
      <c r="T72" s="24" t="n">
        <f aca="false">T64-T70</f>
        <v>0</v>
      </c>
      <c r="U72" s="24" t="n">
        <f aca="false">U64-U70</f>
        <v>0</v>
      </c>
      <c r="V72" s="24" t="n">
        <f aca="false">V64-V70</f>
        <v>0</v>
      </c>
      <c r="W72" s="24" t="n">
        <f aca="false">W64-W70</f>
        <v>0</v>
      </c>
    </row>
    <row r="73" customFormat="false" ht="15" hidden="false" customHeight="false" outlineLevel="0" collapsed="false">
      <c r="A73" s="29" t="s">
        <v>303</v>
      </c>
      <c r="C73" s="24" t="n">
        <v>0</v>
      </c>
      <c r="D73" s="24" t="n">
        <f aca="false">C75</f>
        <v>0</v>
      </c>
      <c r="E73" s="24" t="n">
        <f aca="false">D75</f>
        <v>1035866.91355141</v>
      </c>
      <c r="F73" s="24" t="n">
        <f aca="false">E75</f>
        <v>1700432.33384728</v>
      </c>
      <c r="G73" s="24" t="n">
        <f aca="false">F75</f>
        <v>2091121.20304124</v>
      </c>
      <c r="H73" s="24" t="n">
        <f aca="false">G75</f>
        <v>2280954.6298934</v>
      </c>
      <c r="I73" s="24" t="n">
        <f aca="false">H75</f>
        <v>2324653.19456261</v>
      </c>
      <c r="J73" s="24" t="n">
        <f aca="false">I75</f>
        <v>2263214.38268456</v>
      </c>
      <c r="K73" s="24" t="n">
        <f aca="false">J75</f>
        <v>2127345.61824649</v>
      </c>
      <c r="L73" s="24" t="n">
        <f aca="false">K75</f>
        <v>1940038.99734478</v>
      </c>
      <c r="M73" s="24" t="n">
        <f aca="false">L75</f>
        <v>1718502.29934534</v>
      </c>
      <c r="N73" s="24" t="n">
        <f aca="false">M75</f>
        <v>1475607.20779321</v>
      </c>
      <c r="O73" s="24" t="n">
        <f aca="false">N75</f>
        <v>1220975.4402895</v>
      </c>
      <c r="P73" s="24" t="n">
        <f aca="false">O75</f>
        <v>961793.311708932</v>
      </c>
      <c r="Q73" s="24" t="n">
        <f aca="false">P75</f>
        <v>703422.623999033</v>
      </c>
      <c r="R73" s="24" t="n">
        <f aca="false">Q75</f>
        <v>449858.802454277</v>
      </c>
      <c r="S73" s="24" t="n">
        <f aca="false">R75</f>
        <v>287596.099662747</v>
      </c>
      <c r="T73" s="24" t="n">
        <f aca="false">S75</f>
        <v>287596.099662747</v>
      </c>
      <c r="U73" s="24" t="n">
        <f aca="false">T75</f>
        <v>287596.099662747</v>
      </c>
      <c r="V73" s="24" t="n">
        <f aca="false">U75</f>
        <v>287596.099662747</v>
      </c>
      <c r="W73" s="24" t="n">
        <f aca="false">V75</f>
        <v>287596.099662747</v>
      </c>
    </row>
    <row r="74" customFormat="false" ht="15" hidden="false" customHeight="false" outlineLevel="0" collapsed="false">
      <c r="A74" s="29" t="s">
        <v>304</v>
      </c>
      <c r="C74" s="24" t="n">
        <v>0</v>
      </c>
      <c r="D74" s="24" t="n">
        <f aca="false">MIN(D73,MAX(D72,0))</f>
        <v>0</v>
      </c>
      <c r="E74" s="24" t="n">
        <f aca="false">MIN(E73,MAX(E72,0))</f>
        <v>0</v>
      </c>
      <c r="F74" s="24" t="n">
        <f aca="false">MIN(F73,MAX(F72,0))</f>
        <v>0</v>
      </c>
      <c r="G74" s="24" t="n">
        <f aca="false">MIN(G73,MAX(G72,0))</f>
        <v>0</v>
      </c>
      <c r="H74" s="24" t="n">
        <f aca="false">MIN(H73,MAX(H72,0))</f>
        <v>0</v>
      </c>
      <c r="I74" s="24" t="n">
        <f aca="false">MIN(I73,MAX(I72,0))</f>
        <v>61438.8118780516</v>
      </c>
      <c r="J74" s="24" t="n">
        <f aca="false">MIN(J73,MAX(J72,0))</f>
        <v>135868.764438074</v>
      </c>
      <c r="K74" s="24" t="n">
        <f aca="false">MIN(K73,MAX(K72,0))</f>
        <v>187306.620901705</v>
      </c>
      <c r="L74" s="24" t="n">
        <f aca="false">MIN(L73,MAX(L72,0))</f>
        <v>221536.697999436</v>
      </c>
      <c r="M74" s="24" t="n">
        <f aca="false">MIN(M73,MAX(M72,0))</f>
        <v>242895.091552135</v>
      </c>
      <c r="N74" s="24" t="n">
        <f aca="false">MIN(N73,MAX(N72,0))</f>
        <v>254631.767503714</v>
      </c>
      <c r="O74" s="24" t="n">
        <f aca="false">MIN(O73,MAX(O72,0))</f>
        <v>259182.128580564</v>
      </c>
      <c r="P74" s="24" t="n">
        <f aca="false">MIN(P73,MAX(P72,0))</f>
        <v>258370.687709899</v>
      </c>
      <c r="Q74" s="24" t="n">
        <f aca="false">MIN(Q73,MAX(Q72,0))</f>
        <v>253563.821544756</v>
      </c>
      <c r="R74" s="24" t="n">
        <f aca="false">MIN(R73,MAX(R72,0))</f>
        <v>162262.70279153</v>
      </c>
      <c r="S74" s="24" t="n">
        <f aca="false">MIN(S73,MAX(S72,0))</f>
        <v>0</v>
      </c>
      <c r="T74" s="24" t="n">
        <f aca="false">MIN(T73,MAX(T72,0))</f>
        <v>0</v>
      </c>
      <c r="U74" s="24" t="n">
        <f aca="false">MIN(U73,MAX(U72,0))</f>
        <v>0</v>
      </c>
      <c r="V74" s="24" t="n">
        <f aca="false">MIN(V73,MAX(V72,0))</f>
        <v>0</v>
      </c>
      <c r="W74" s="24" t="n">
        <f aca="false">MIN(W73,MAX(W72,0))</f>
        <v>0</v>
      </c>
    </row>
    <row r="75" customFormat="false" ht="15" hidden="false" customHeight="false" outlineLevel="0" collapsed="false">
      <c r="A75" s="29" t="s">
        <v>305</v>
      </c>
      <c r="C75" s="24" t="n">
        <v>0</v>
      </c>
      <c r="D75" s="24" t="n">
        <f aca="false">D73-D74+MAX(-D72,0)</f>
        <v>1035866.91355141</v>
      </c>
      <c r="E75" s="24" t="n">
        <f aca="false">E73-E74+MAX(-E72,0)</f>
        <v>1700432.33384728</v>
      </c>
      <c r="F75" s="24" t="n">
        <f aca="false">F73-F74+MAX(-F72,0)</f>
        <v>2091121.20304124</v>
      </c>
      <c r="G75" s="24" t="n">
        <f aca="false">G73-G74+MAX(-G72,0)</f>
        <v>2280954.6298934</v>
      </c>
      <c r="H75" s="24" t="n">
        <f aca="false">H73-H74+MAX(-H72,0)</f>
        <v>2324653.19456261</v>
      </c>
      <c r="I75" s="24" t="n">
        <f aca="false">I73-I74+MAX(-I72,0)</f>
        <v>2263214.38268456</v>
      </c>
      <c r="J75" s="24" t="n">
        <f aca="false">J73-J74+MAX(-J72,0)</f>
        <v>2127345.61824649</v>
      </c>
      <c r="K75" s="24" t="n">
        <f aca="false">K73-K74+MAX(-K72,0)</f>
        <v>1940038.99734478</v>
      </c>
      <c r="L75" s="24" t="n">
        <f aca="false">L73-L74+MAX(-L72,0)</f>
        <v>1718502.29934534</v>
      </c>
      <c r="M75" s="24" t="n">
        <f aca="false">M73-M74+MAX(-M72,0)</f>
        <v>1475607.20779321</v>
      </c>
      <c r="N75" s="24" t="n">
        <f aca="false">N73-N74+MAX(-N72,0)</f>
        <v>1220975.4402895</v>
      </c>
      <c r="O75" s="24" t="n">
        <f aca="false">O73-O74+MAX(-O72,0)</f>
        <v>961793.311708932</v>
      </c>
      <c r="P75" s="24" t="n">
        <f aca="false">P73-P74+MAX(-P72,0)</f>
        <v>703422.623999033</v>
      </c>
      <c r="Q75" s="24" t="n">
        <f aca="false">Q73-Q74+MAX(-Q72,0)</f>
        <v>449858.802454277</v>
      </c>
      <c r="R75" s="24" t="n">
        <f aca="false">R73-R74+MAX(-R72,0)</f>
        <v>287596.099662747</v>
      </c>
      <c r="S75" s="24" t="n">
        <f aca="false">S73-S74+MAX(-S72,0)</f>
        <v>287596.099662747</v>
      </c>
      <c r="T75" s="24" t="n">
        <f aca="false">T73-T74+MAX(-T72,0)</f>
        <v>287596.099662747</v>
      </c>
      <c r="U75" s="24" t="n">
        <f aca="false">U73-U74+MAX(-U72,0)</f>
        <v>287596.099662747</v>
      </c>
      <c r="V75" s="24" t="n">
        <f aca="false">V73-V74+MAX(-V72,0)</f>
        <v>287596.099662747</v>
      </c>
      <c r="W75" s="24" t="n">
        <f aca="false">W73-W74+MAX(-W72,0)</f>
        <v>287596.099662747</v>
      </c>
    </row>
    <row r="76" customFormat="false" ht="15" hidden="false" customHeight="false" outlineLevel="0" collapsed="false">
      <c r="A76" s="29" t="s">
        <v>167</v>
      </c>
      <c r="C76" s="24" t="n">
        <v>0</v>
      </c>
      <c r="D76" s="24" t="n">
        <f aca="false">-MAX(D72-D74,0)*$B$35</f>
        <v>-0</v>
      </c>
      <c r="E76" s="24" t="n">
        <f aca="false">-MAX(E72-E74,0)*$B$35</f>
        <v>-0</v>
      </c>
      <c r="F76" s="24" t="n">
        <f aca="false">-MAX(F72-F74,0)*$B$35</f>
        <v>-0</v>
      </c>
      <c r="G76" s="24" t="n">
        <f aca="false">-MAX(G72-G74,0)*$B$35</f>
        <v>-0</v>
      </c>
      <c r="H76" s="24" t="n">
        <f aca="false">-MAX(H72-H74,0)*$B$35</f>
        <v>-0</v>
      </c>
      <c r="I76" s="24" t="n">
        <f aca="false">-MAX(I72-I74,0)*$B$35</f>
        <v>-0</v>
      </c>
      <c r="J76" s="24" t="n">
        <f aca="false">-MAX(J72-J74,0)*$B$35</f>
        <v>-0</v>
      </c>
      <c r="K76" s="24" t="n">
        <f aca="false">-MAX(K72-K74,0)*$B$35</f>
        <v>-0</v>
      </c>
      <c r="L76" s="24" t="n">
        <f aca="false">-MAX(L72-L74,0)*$B$35</f>
        <v>-0</v>
      </c>
      <c r="M76" s="24" t="n">
        <f aca="false">-MAX(M72-M74,0)*$B$35</f>
        <v>-0</v>
      </c>
      <c r="N76" s="24" t="n">
        <f aca="false">-MAX(N72-N74,0)*$B$35</f>
        <v>-0</v>
      </c>
      <c r="O76" s="24" t="n">
        <f aca="false">-MAX(O72-O74,0)*$B$35</f>
        <v>-0</v>
      </c>
      <c r="P76" s="24" t="n">
        <f aca="false">-MAX(P72-P74,0)*$B$35</f>
        <v>-0</v>
      </c>
      <c r="Q76" s="24" t="n">
        <f aca="false">-MAX(Q72-Q74,0)*$B$35</f>
        <v>-0</v>
      </c>
      <c r="R76" s="24" t="n">
        <f aca="false">-MAX(R72-R74,0)*$B$35</f>
        <v>-0</v>
      </c>
      <c r="S76" s="24" t="n">
        <f aca="false">-MAX(S72-S74,0)*$B$35</f>
        <v>-0</v>
      </c>
      <c r="T76" s="24" t="n">
        <f aca="false">-MAX(T72-T74,0)*$B$35</f>
        <v>-0</v>
      </c>
      <c r="U76" s="24" t="n">
        <f aca="false">-MAX(U72-U74,0)*$B$35</f>
        <v>-0</v>
      </c>
      <c r="V76" s="24" t="n">
        <f aca="false">-MAX(V72-V74,0)*$B$35</f>
        <v>-0</v>
      </c>
      <c r="W76" s="24" t="n">
        <f aca="false">-MAX(W72-W74,0)*$B$35</f>
        <v>-0</v>
      </c>
    </row>
    <row r="77" customFormat="false" ht="15" hidden="false" customHeight="false" outlineLevel="0" collapsed="false">
      <c r="A77" s="9" t="s">
        <v>306</v>
      </c>
      <c r="C77" s="31" t="n">
        <f aca="false">C66+C76</f>
        <v>-6250000</v>
      </c>
      <c r="D77" s="31" t="n">
        <f aca="false">D66+D76</f>
        <v>526633.086448595</v>
      </c>
      <c r="E77" s="31" t="n">
        <f aca="false">E66+E76</f>
        <v>507309.579704124</v>
      </c>
      <c r="F77" s="31" t="n">
        <f aca="false">F66+F76</f>
        <v>488217.380806043</v>
      </c>
      <c r="G77" s="31" t="n">
        <f aca="false">G66+G76</f>
        <v>469346.260647837</v>
      </c>
      <c r="H77" s="31" t="n">
        <f aca="false">H66+H76</f>
        <v>450686.200955791</v>
      </c>
      <c r="I77" s="31" t="n">
        <f aca="false">I66+I76</f>
        <v>432227.386096802</v>
      </c>
      <c r="J77" s="31" t="n">
        <f aca="false">J66+J76</f>
        <v>413960.195102136</v>
      </c>
      <c r="K77" s="31" t="n">
        <f aca="false">K66+K76</f>
        <v>395875.193899752</v>
      </c>
      <c r="L77" s="31" t="n">
        <f aca="false">L66+L76</f>
        <v>377963.127747971</v>
      </c>
      <c r="M77" s="31" t="n">
        <f aca="false">M66+M76</f>
        <v>360214.913863536</v>
      </c>
      <c r="N77" s="31" t="n">
        <f aca="false">N66+N76</f>
        <v>342621.634237265</v>
      </c>
      <c r="O77" s="31" t="n">
        <f aca="false">O66+O76</f>
        <v>325174.528630727</v>
      </c>
      <c r="P77" s="31" t="n">
        <f aca="false">P66+P76</f>
        <v>307864.987747521</v>
      </c>
      <c r="Q77" s="31" t="n">
        <f aca="false">Q66+Q76</f>
        <v>290684.546572973</v>
      </c>
      <c r="R77" s="31" t="n">
        <f aca="false">R66+R76</f>
        <v>273624.877876181</v>
      </c>
      <c r="S77" s="31" t="n">
        <f aca="false">S66+S76</f>
        <v>0</v>
      </c>
      <c r="T77" s="31" t="n">
        <f aca="false">T66+T76</f>
        <v>0</v>
      </c>
      <c r="U77" s="31" t="n">
        <f aca="false">U66+U76</f>
        <v>0</v>
      </c>
      <c r="V77" s="31" t="n">
        <f aca="false">V66+V76</f>
        <v>0</v>
      </c>
      <c r="W77" s="31" t="n">
        <f aca="false">W66+W76</f>
        <v>0</v>
      </c>
    </row>
    <row r="78" customFormat="false" ht="15" hidden="false" customHeight="false" outlineLevel="0" collapsed="false">
      <c r="A78" s="29" t="s">
        <v>307</v>
      </c>
      <c r="C78" s="24" t="n">
        <f aca="false">C77</f>
        <v>-6250000</v>
      </c>
      <c r="D78" s="24" t="n">
        <f aca="false">C78+D77</f>
        <v>-5723366.91355141</v>
      </c>
      <c r="E78" s="24" t="n">
        <f aca="false">D78+E77</f>
        <v>-5216057.33384728</v>
      </c>
      <c r="F78" s="24" t="n">
        <f aca="false">E78+F77</f>
        <v>-4727839.95304124</v>
      </c>
      <c r="G78" s="24" t="n">
        <f aca="false">F78+G77</f>
        <v>-4258493.6923934</v>
      </c>
      <c r="H78" s="24" t="n">
        <f aca="false">G78+H77</f>
        <v>-3807807.49143761</v>
      </c>
      <c r="I78" s="24" t="n">
        <f aca="false">H78+I77</f>
        <v>-3375580.10534081</v>
      </c>
      <c r="J78" s="24" t="n">
        <f aca="false">I78+J77</f>
        <v>-2961619.91023867</v>
      </c>
      <c r="K78" s="24" t="n">
        <f aca="false">J78+K77</f>
        <v>-2565744.71633892</v>
      </c>
      <c r="L78" s="24" t="n">
        <f aca="false">K78+L77</f>
        <v>-2187781.58859095</v>
      </c>
      <c r="M78" s="24" t="n">
        <f aca="false">L78+M77</f>
        <v>-1827566.67472741</v>
      </c>
      <c r="N78" s="24" t="n">
        <f aca="false">M78+N77</f>
        <v>-1484945.04049015</v>
      </c>
      <c r="O78" s="24" t="n">
        <f aca="false">N78+O77</f>
        <v>-1159770.51185942</v>
      </c>
      <c r="P78" s="24" t="n">
        <f aca="false">O78+P77</f>
        <v>-851905.524111899</v>
      </c>
      <c r="Q78" s="24" t="n">
        <f aca="false">P78+Q77</f>
        <v>-561220.977538927</v>
      </c>
      <c r="R78" s="24" t="n">
        <f aca="false">Q78+R77</f>
        <v>-287596.099662746</v>
      </c>
      <c r="S78" s="24" t="n">
        <f aca="false">R78+S77</f>
        <v>-287596.099662746</v>
      </c>
      <c r="T78" s="24" t="n">
        <f aca="false">S78+T77</f>
        <v>-287596.099662746</v>
      </c>
      <c r="U78" s="24" t="n">
        <f aca="false">T78+U77</f>
        <v>-287596.099662746</v>
      </c>
      <c r="V78" s="24" t="n">
        <f aca="false">U78+V77</f>
        <v>-287596.099662746</v>
      </c>
      <c r="W78" s="24" t="n">
        <f aca="false">V78+W77</f>
        <v>-287596.099662746</v>
      </c>
    </row>
    <row r="79" customFormat="false" ht="15" hidden="false" customHeight="false" outlineLevel="0" collapsed="false">
      <c r="A79" s="29" t="s">
        <v>308</v>
      </c>
      <c r="C79" s="30"/>
      <c r="D79" s="30" t="str">
        <f aca="false">IF(AND(D78&gt;=0,C78&lt;0),D51,"")</f>
        <v/>
      </c>
      <c r="E79" s="30" t="str">
        <f aca="false">IF(AND(E78&gt;=0,D78&lt;0),E51,"")</f>
        <v/>
      </c>
      <c r="F79" s="30" t="str">
        <f aca="false">IF(AND(F78&gt;=0,E78&lt;0),F51,"")</f>
        <v/>
      </c>
      <c r="G79" s="30" t="str">
        <f aca="false">IF(AND(G78&gt;=0,F78&lt;0),G51,"")</f>
        <v/>
      </c>
      <c r="H79" s="30" t="str">
        <f aca="false">IF(AND(H78&gt;=0,G78&lt;0),H51,"")</f>
        <v/>
      </c>
      <c r="I79" s="30" t="str">
        <f aca="false">IF(AND(I78&gt;=0,H78&lt;0),I51,"")</f>
        <v/>
      </c>
      <c r="J79" s="30" t="str">
        <f aca="false">IF(AND(J78&gt;=0,I78&lt;0),J51,"")</f>
        <v/>
      </c>
      <c r="K79" s="30" t="str">
        <f aca="false">IF(AND(K78&gt;=0,J78&lt;0),K51,"")</f>
        <v/>
      </c>
      <c r="L79" s="30" t="str">
        <f aca="false">IF(AND(L78&gt;=0,K78&lt;0),L51,"")</f>
        <v/>
      </c>
      <c r="M79" s="30" t="str">
        <f aca="false">IF(AND(M78&gt;=0,L78&lt;0),M51,"")</f>
        <v/>
      </c>
      <c r="N79" s="30" t="str">
        <f aca="false">IF(AND(N78&gt;=0,M78&lt;0),N51,"")</f>
        <v/>
      </c>
      <c r="O79" s="30" t="str">
        <f aca="false">IF(AND(O78&gt;=0,N78&lt;0),O51,"")</f>
        <v/>
      </c>
      <c r="P79" s="30" t="str">
        <f aca="false">IF(AND(P78&gt;=0,O78&lt;0),P51,"")</f>
        <v/>
      </c>
      <c r="Q79" s="30" t="str">
        <f aca="false">IF(AND(Q78&gt;=0,P78&lt;0),Q51,"")</f>
        <v/>
      </c>
      <c r="R79" s="30" t="str">
        <f aca="false">IF(AND(R78&gt;=0,Q78&lt;0),R51,"")</f>
        <v/>
      </c>
      <c r="S79" s="30" t="str">
        <f aca="false">IF(AND(S78&gt;=0,R78&lt;0),S51,"")</f>
        <v/>
      </c>
      <c r="T79" s="30" t="str">
        <f aca="false">IF(AND(T78&gt;=0,S78&lt;0),T51,"")</f>
        <v/>
      </c>
      <c r="U79" s="30" t="str">
        <f aca="false">IF(AND(U78&gt;=0,T78&lt;0),U51,"")</f>
        <v/>
      </c>
      <c r="V79" s="30" t="str">
        <f aca="false">IF(AND(V78&gt;=0,U78&lt;0),V51,"")</f>
        <v/>
      </c>
      <c r="W79" s="30" t="str">
        <f aca="false">IF(AND(W78&gt;=0,V78&lt;0),W51,"")</f>
        <v/>
      </c>
    </row>
    <row r="81" customFormat="false" ht="15" hidden="false" customHeight="false" outlineLevel="0" collapsed="false">
      <c r="A81" s="9" t="s">
        <v>2</v>
      </c>
    </row>
    <row r="82" customFormat="false" ht="15" hidden="false" customHeight="false" outlineLevel="0" collapsed="false">
      <c r="A82" s="0" t="s">
        <v>309</v>
      </c>
      <c r="B82" s="32" t="n">
        <f aca="false">IFERROR(IRR(C66:W66),"negativ")</f>
        <v>-0.00651111847611164</v>
      </c>
    </row>
    <row r="83" customFormat="false" ht="15" hidden="false" customHeight="false" outlineLevel="0" collapsed="false">
      <c r="A83" s="0" t="s">
        <v>310</v>
      </c>
      <c r="B83" s="32" t="n">
        <f aca="false">IFERROR(IRR(C77:W77),"negativ")</f>
        <v>-0.00651111847611164</v>
      </c>
    </row>
    <row r="84" customFormat="false" ht="15" hidden="false" customHeight="false" outlineLevel="0" collapsed="false">
      <c r="A84" s="0" t="s">
        <v>311</v>
      </c>
      <c r="B84" s="33" t="n">
        <f aca="false">NPV($B$37,D77:W77)+C77</f>
        <v>-2629940.74577023</v>
      </c>
    </row>
    <row r="85" customFormat="false" ht="15" hidden="false" customHeight="false" outlineLevel="0" collapsed="false">
      <c r="A85" s="0" t="s">
        <v>17</v>
      </c>
      <c r="B85" s="34" t="str">
        <f aca="false">IF(COUNT(D79:W79)=0,"&gt; levetid",MIN(D79:W79))</f>
        <v>&gt; levetid</v>
      </c>
    </row>
    <row r="86" customFormat="false" ht="15" hidden="false" customHeight="false" outlineLevel="0" collapsed="false">
      <c r="A86" s="0" t="s">
        <v>274</v>
      </c>
      <c r="B86" s="33" t="n">
        <f aca="false">$B$42</f>
        <v>6250000</v>
      </c>
    </row>
    <row r="87" customFormat="false" ht="15" hidden="false" customHeight="false" outlineLevel="0" collapsed="false">
      <c r="A87" s="0" t="s">
        <v>312</v>
      </c>
      <c r="B87" s="33" t="n">
        <f aca="false">$B$43</f>
        <v>312.5</v>
      </c>
    </row>
    <row r="88" customFormat="false" ht="15" hidden="false" customHeight="false" outlineLevel="0" collapsed="false">
      <c r="A88" s="0" t="s">
        <v>313</v>
      </c>
      <c r="B88" s="33" t="n">
        <f aca="false">$B$44</f>
        <v>625000</v>
      </c>
    </row>
    <row r="89" customFormat="false" ht="15" hidden="false" customHeight="false" outlineLevel="0" collapsed="false">
      <c r="A89" s="0" t="s">
        <v>314</v>
      </c>
      <c r="B89" s="33" t="n">
        <f aca="false">D58/$B$5</f>
        <v>102775.344720678</v>
      </c>
    </row>
    <row r="90" customFormat="false" ht="15" hidden="false" customHeight="false" outlineLevel="0" collapsed="false">
      <c r="A90" s="0" t="s">
        <v>315</v>
      </c>
      <c r="B90" s="33" t="n">
        <f aca="false">D64</f>
        <v>526633.086448595</v>
      </c>
    </row>
    <row r="91" customFormat="false" ht="15" hidden="false" customHeight="false" outlineLevel="0" collapsed="false">
      <c r="A91" s="0" t="s">
        <v>316</v>
      </c>
      <c r="B91" s="32" t="n">
        <f aca="false">IFERROR(D64/D58,0)</f>
        <v>0.512411890108348</v>
      </c>
    </row>
    <row r="92" customFormat="false" ht="15" hidden="false" customHeight="false" outlineLevel="0" collapsed="false">
      <c r="A92" s="0" t="s">
        <v>13</v>
      </c>
      <c r="B92" s="32" t="n">
        <f aca="false">D64/$B$42</f>
        <v>0.0842612938317751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23" min="3" style="0" width="12"/>
  </cols>
  <sheetData>
    <row r="1" customFormat="false" ht="17.35" hidden="false" customHeight="false" outlineLevel="0" collapsed="false">
      <c r="A1" s="1" t="s">
        <v>318</v>
      </c>
    </row>
    <row r="2" customFormat="false" ht="15" hidden="false" customHeight="false" outlineLevel="0" collapsed="false">
      <c r="A2" s="0" t="s">
        <v>236</v>
      </c>
      <c r="B2" s="0" t="n">
        <v>3</v>
      </c>
    </row>
    <row r="4" customFormat="false" ht="15" hidden="false" customHeight="false" outlineLevel="0" collapsed="false">
      <c r="A4" s="9" t="s">
        <v>237</v>
      </c>
    </row>
    <row r="5" customFormat="false" ht="15" hidden="false" customHeight="false" outlineLevel="0" collapsed="false">
      <c r="A5" s="0" t="s">
        <v>238</v>
      </c>
      <c r="B5" s="24" t="n">
        <f aca="false">INDEX(Forudsætninger!$D$6:$F$6,1,$B$2)</f>
        <v>10</v>
      </c>
    </row>
    <row r="6" customFormat="false" ht="15" hidden="false" customHeight="false" outlineLevel="0" collapsed="false">
      <c r="A6" s="0" t="s">
        <v>239</v>
      </c>
      <c r="B6" s="24" t="n">
        <f aca="false">INDEX(Forudsætninger!$D$7:$F$7,1,$B$2)</f>
        <v>2</v>
      </c>
    </row>
    <row r="7" customFormat="false" ht="15" hidden="false" customHeight="false" outlineLevel="0" collapsed="false">
      <c r="A7" s="0" t="s">
        <v>240</v>
      </c>
      <c r="B7" s="24" t="n">
        <f aca="false">INDEX(Forudsætninger!$D$8:$F$8,1,$B$2)</f>
        <v>2028</v>
      </c>
    </row>
    <row r="8" customFormat="false" ht="15" hidden="false" customHeight="false" outlineLevel="0" collapsed="false">
      <c r="A8" s="0" t="s">
        <v>241</v>
      </c>
      <c r="B8" s="24" t="n">
        <f aca="false">INDEX(Forudsætninger!$D$9:$F$9,1,$B$2)</f>
        <v>15</v>
      </c>
    </row>
    <row r="9" customFormat="false" ht="15" hidden="false" customHeight="false" outlineLevel="0" collapsed="false">
      <c r="A9" s="0" t="s">
        <v>242</v>
      </c>
      <c r="B9" s="25" t="n">
        <f aca="false">INDEX(Forudsætninger!$D$10:$F$10,1,$B$2)</f>
        <v>0.97</v>
      </c>
    </row>
    <row r="10" customFormat="false" ht="15" hidden="false" customHeight="false" outlineLevel="0" collapsed="false">
      <c r="A10" s="0" t="s">
        <v>243</v>
      </c>
      <c r="B10" s="25" t="n">
        <f aca="false">INDEX(Forudsætninger!$D$11:$F$11,1,$B$2)</f>
        <v>0.015</v>
      </c>
    </row>
    <row r="11" customFormat="false" ht="15" hidden="false" customHeight="false" outlineLevel="0" collapsed="false">
      <c r="A11" s="0" t="s">
        <v>244</v>
      </c>
      <c r="B11" s="25" t="n">
        <f aca="false">INDEX(Forudsætninger!$D$12:$F$12,1,$B$2)</f>
        <v>0.86</v>
      </c>
    </row>
    <row r="12" customFormat="false" ht="15" hidden="false" customHeight="false" outlineLevel="0" collapsed="false">
      <c r="A12" s="0" t="s">
        <v>245</v>
      </c>
      <c r="B12" s="24" t="n">
        <f aca="false">INDEX(Forudsætninger!$D$14:$F$14,1,$B$2)</f>
        <v>160</v>
      </c>
    </row>
    <row r="13" customFormat="false" ht="15" hidden="false" customHeight="false" outlineLevel="0" collapsed="false">
      <c r="A13" s="0" t="s">
        <v>246</v>
      </c>
      <c r="B13" s="24" t="n">
        <f aca="false">INDEX(Forudsætninger!$D$15:$F$15,1,$B$2)</f>
        <v>170</v>
      </c>
    </row>
    <row r="14" customFormat="false" ht="15" hidden="false" customHeight="false" outlineLevel="0" collapsed="false">
      <c r="A14" s="0" t="s">
        <v>247</v>
      </c>
      <c r="B14" s="24" t="n">
        <f aca="false">INDEX(Forudsætninger!$D$16:$F$16,1,$B$2)</f>
        <v>150000</v>
      </c>
    </row>
    <row r="15" customFormat="false" ht="15" hidden="false" customHeight="false" outlineLevel="0" collapsed="false">
      <c r="A15" s="0" t="s">
        <v>248</v>
      </c>
      <c r="B15" s="24" t="n">
        <f aca="false">INDEX(Forudsætninger!$D$17:$F$17,1,$B$2)</f>
        <v>0</v>
      </c>
    </row>
    <row r="16" customFormat="false" ht="15" hidden="false" customHeight="false" outlineLevel="0" collapsed="false">
      <c r="A16" s="0" t="s">
        <v>249</v>
      </c>
      <c r="B16" s="26" t="n">
        <f aca="false">INDEX(Forudsætninger!$D$19:$F$19,1,$B$2)</f>
        <v>1.126</v>
      </c>
    </row>
    <row r="17" customFormat="false" ht="15" hidden="false" customHeight="false" outlineLevel="0" collapsed="false">
      <c r="A17" s="0" t="s">
        <v>250</v>
      </c>
      <c r="B17" s="25" t="n">
        <f aca="false">INDEX(Forudsætninger!$D$20:$F$20,1,$B$2)</f>
        <v>0.9</v>
      </c>
    </row>
    <row r="18" customFormat="false" ht="15" hidden="false" customHeight="false" outlineLevel="0" collapsed="false">
      <c r="A18" s="0" t="s">
        <v>251</v>
      </c>
      <c r="B18" s="25" t="n">
        <f aca="false">INDEX(Forudsætninger!$D$21:$F$21,1,$B$2)</f>
        <v>0.2</v>
      </c>
    </row>
    <row r="19" customFormat="false" ht="15" hidden="false" customHeight="false" outlineLevel="0" collapsed="false">
      <c r="A19" s="0" t="s">
        <v>252</v>
      </c>
      <c r="B19" s="25" t="n">
        <f aca="false">INDEX(Forudsætninger!$D$22:$F$22,1,$B$2)</f>
        <v>0.01</v>
      </c>
    </row>
    <row r="20" customFormat="false" ht="15" hidden="false" customHeight="false" outlineLevel="0" collapsed="false">
      <c r="A20" s="0" t="s">
        <v>253</v>
      </c>
      <c r="B20" s="24" t="n">
        <f aca="false">INDEX(Forudsætninger!$D$23:$F$23,1,$B$2)</f>
        <v>70000</v>
      </c>
    </row>
    <row r="21" customFormat="false" ht="15" hidden="false" customHeight="false" outlineLevel="0" collapsed="false">
      <c r="A21" s="0" t="s">
        <v>254</v>
      </c>
      <c r="B21" s="25" t="n">
        <f aca="false">INDEX(Forudsætninger!$D$24:$F$24,1,$B$2)</f>
        <v>-0.05</v>
      </c>
    </row>
    <row r="22" customFormat="false" ht="15" hidden="false" customHeight="false" outlineLevel="0" collapsed="false">
      <c r="A22" s="0" t="s">
        <v>255</v>
      </c>
      <c r="B22" s="24" t="n">
        <f aca="false">INDEX(Forudsætninger!$D$25:$F$25,1,$B$2)</f>
        <v>20000</v>
      </c>
    </row>
    <row r="23" customFormat="false" ht="15" hidden="false" customHeight="false" outlineLevel="0" collapsed="false">
      <c r="A23" s="0" t="s">
        <v>256</v>
      </c>
      <c r="B23" s="26" t="n">
        <f aca="false">INDEX(Forudsætninger!$D$27:$F$27,1,$B$2)</f>
        <v>10.5</v>
      </c>
    </row>
    <row r="24" customFormat="false" ht="15" hidden="false" customHeight="false" outlineLevel="0" collapsed="false">
      <c r="A24" s="0" t="s">
        <v>257</v>
      </c>
      <c r="B24" s="26" t="n">
        <f aca="false">INDEX(Forudsætninger!$D$28:$F$28,1,$B$2)</f>
        <v>2</v>
      </c>
    </row>
    <row r="25" customFormat="false" ht="15" hidden="false" customHeight="false" outlineLevel="0" collapsed="false">
      <c r="A25" s="0" t="s">
        <v>258</v>
      </c>
      <c r="B25" s="26" t="n">
        <f aca="false">INDEX(Forudsætninger!$D$29:$F$29,1,$B$2)</f>
        <v>0.4</v>
      </c>
    </row>
    <row r="26" customFormat="false" ht="15" hidden="false" customHeight="false" outlineLevel="0" collapsed="false">
      <c r="A26" s="0" t="s">
        <v>259</v>
      </c>
      <c r="B26" s="26" t="n">
        <f aca="false">INDEX(Forudsætninger!$D$30:$F$30,1,$B$2)</f>
        <v>0.92</v>
      </c>
    </row>
    <row r="27" customFormat="false" ht="15" hidden="false" customHeight="false" outlineLevel="0" collapsed="false">
      <c r="A27" s="0" t="s">
        <v>260</v>
      </c>
      <c r="B27" s="26" t="n">
        <f aca="false">INDEX(Forudsætninger!$D$31:$F$31,1,$B$2)</f>
        <v>0.5</v>
      </c>
    </row>
    <row r="28" customFormat="false" ht="15" hidden="false" customHeight="false" outlineLevel="0" collapsed="false">
      <c r="A28" s="0" t="s">
        <v>261</v>
      </c>
      <c r="B28" s="26" t="n">
        <f aca="false">INDEX(Forudsætninger!$D$32:$F$32,1,$B$2)</f>
        <v>7.46</v>
      </c>
    </row>
    <row r="29" customFormat="false" ht="15" hidden="false" customHeight="false" outlineLevel="0" collapsed="false">
      <c r="A29" s="0" t="s">
        <v>262</v>
      </c>
      <c r="B29" s="25" t="n">
        <f aca="false">INDEX(Forudsætninger!$D$34:$F$34,1,$B$2)</f>
        <v>0.012</v>
      </c>
    </row>
    <row r="30" customFormat="false" ht="15" hidden="false" customHeight="false" outlineLevel="0" collapsed="false">
      <c r="A30" s="0" t="s">
        <v>263</v>
      </c>
      <c r="B30" s="25" t="n">
        <f aca="false">INDEX(Forudsætninger!$D$35:$F$35,1,$B$2)</f>
        <v>0.003</v>
      </c>
    </row>
    <row r="31" customFormat="false" ht="15" hidden="false" customHeight="false" outlineLevel="0" collapsed="false">
      <c r="A31" s="0" t="s">
        <v>264</v>
      </c>
      <c r="B31" s="25" t="n">
        <f aca="false">INDEX(Forudsætninger!$D$36:$F$36,1,$B$2)</f>
        <v>0.07</v>
      </c>
    </row>
    <row r="32" customFormat="false" ht="15" hidden="false" customHeight="false" outlineLevel="0" collapsed="false">
      <c r="A32" s="0" t="s">
        <v>265</v>
      </c>
      <c r="B32" s="24" t="n">
        <f aca="false">INDEX(Forudsætninger!$D$37:$F$37,1,$B$2)</f>
        <v>3000</v>
      </c>
    </row>
    <row r="33" customFormat="false" ht="15" hidden="false" customHeight="false" outlineLevel="0" collapsed="false">
      <c r="A33" s="0" t="s">
        <v>266</v>
      </c>
      <c r="B33" s="24" t="n">
        <f aca="false">INDEX(Forudsætninger!$D$38:$F$38,1,$B$2)</f>
        <v>30000</v>
      </c>
    </row>
    <row r="34" customFormat="false" ht="15" hidden="false" customHeight="false" outlineLevel="0" collapsed="false">
      <c r="A34" s="0" t="s">
        <v>267</v>
      </c>
      <c r="B34" s="25" t="n">
        <f aca="false">INDEX(Forudsætninger!$D$40:$F$40,1,$B$2)</f>
        <v>0.02</v>
      </c>
    </row>
    <row r="35" customFormat="false" ht="15" hidden="false" customHeight="false" outlineLevel="0" collapsed="false">
      <c r="A35" s="0" t="s">
        <v>268</v>
      </c>
      <c r="B35" s="25" t="n">
        <f aca="false">INDEX(Forudsætninger!$D$41:$F$41,1,$B$2)</f>
        <v>0.22</v>
      </c>
    </row>
    <row r="36" customFormat="false" ht="15" hidden="false" customHeight="false" outlineLevel="0" collapsed="false">
      <c r="A36" s="0" t="s">
        <v>269</v>
      </c>
      <c r="B36" s="25" t="n">
        <f aca="false">INDEX(Forudsætninger!$D$42:$F$42,1,$B$2)</f>
        <v>0.25</v>
      </c>
    </row>
    <row r="37" customFormat="false" ht="15" hidden="false" customHeight="false" outlineLevel="0" collapsed="false">
      <c r="A37" s="0" t="s">
        <v>270</v>
      </c>
      <c r="B37" s="25" t="n">
        <f aca="false">INDEX(Forudsætninger!$D$43:$F$43,1,$B$2)</f>
        <v>0.08</v>
      </c>
    </row>
    <row r="39" customFormat="false" ht="15" hidden="false" customHeight="false" outlineLevel="0" collapsed="false">
      <c r="A39" s="9" t="s">
        <v>271</v>
      </c>
    </row>
    <row r="40" customFormat="false" ht="15" hidden="false" customHeight="false" outlineLevel="0" collapsed="false">
      <c r="A40" s="0" t="s">
        <v>272</v>
      </c>
      <c r="B40" s="24" t="n">
        <f aca="false">$B$5*$B$6</f>
        <v>20</v>
      </c>
    </row>
    <row r="41" customFormat="false" ht="15" hidden="false" customHeight="false" outlineLevel="0" collapsed="false">
      <c r="A41" s="0" t="s">
        <v>273</v>
      </c>
      <c r="B41" s="24" t="n">
        <f aca="false">$B$5*1000*$B$12+$B$5*$B$6*1000*$B$13</f>
        <v>5000000</v>
      </c>
    </row>
    <row r="42" customFormat="false" ht="15" hidden="false" customHeight="false" outlineLevel="0" collapsed="false">
      <c r="A42" s="0" t="s">
        <v>274</v>
      </c>
      <c r="B42" s="24" t="n">
        <f aca="false">B41+$B$14+$B$15</f>
        <v>5150000</v>
      </c>
    </row>
    <row r="43" customFormat="false" ht="15" hidden="false" customHeight="false" outlineLevel="0" collapsed="false">
      <c r="A43" s="0" t="s">
        <v>275</v>
      </c>
      <c r="B43" s="24" t="n">
        <f aca="false">B42/(B40*1000)</f>
        <v>257.5</v>
      </c>
    </row>
    <row r="44" customFormat="false" ht="15" hidden="false" customHeight="false" outlineLevel="0" collapsed="false">
      <c r="A44" s="0" t="s">
        <v>276</v>
      </c>
      <c r="B44" s="24" t="n">
        <f aca="false">B42/$B$5</f>
        <v>515000</v>
      </c>
    </row>
    <row r="45" customFormat="false" ht="15" hidden="false" customHeight="false" outlineLevel="0" collapsed="false">
      <c r="A45" s="0" t="s">
        <v>277</v>
      </c>
      <c r="B45" s="24" t="n">
        <f aca="false">INDEX(Backtest!$C$20:$C$22,MATCH($B$6,Backtest!$A$20:$A$22,0))</f>
        <v>82753.3745948472</v>
      </c>
    </row>
    <row r="46" customFormat="false" ht="15" hidden="false" customHeight="false" outlineLevel="0" collapsed="false">
      <c r="A46" s="0" t="s">
        <v>278</v>
      </c>
      <c r="B46" s="27" t="n">
        <f aca="false">INDEX(Backtest!$D$20:$D$22,MATCH($B$6,Backtest!$A$20:$A$22,0))</f>
        <v>778.812957155865</v>
      </c>
    </row>
    <row r="47" customFormat="false" ht="15" hidden="false" customHeight="false" outlineLevel="0" collapsed="false">
      <c r="A47" s="0" t="s">
        <v>279</v>
      </c>
      <c r="B47" s="26" t="n">
        <f aca="false">($B$23+$B$24+$B$25)*10/$B$28</f>
        <v>17.2922252010724</v>
      </c>
    </row>
    <row r="48" customFormat="false" ht="15" hidden="false" customHeight="false" outlineLevel="0" collapsed="false">
      <c r="A48" s="0" t="s">
        <v>280</v>
      </c>
      <c r="B48" s="26" t="n">
        <f aca="false">($B$26+$B$27)*10/$B$28</f>
        <v>1.90348525469169</v>
      </c>
    </row>
    <row r="50" customFormat="false" ht="15" hidden="false" customHeight="false" outlineLevel="0" collapsed="false">
      <c r="A50" s="9" t="s">
        <v>281</v>
      </c>
    </row>
    <row r="51" customFormat="false" ht="15" hidden="false" customHeight="false" outlineLevel="0" collapsed="false">
      <c r="A51" s="9" t="s">
        <v>282</v>
      </c>
      <c r="C51" s="28" t="n">
        <v>0</v>
      </c>
      <c r="D51" s="28" t="n">
        <v>1</v>
      </c>
      <c r="E51" s="28" t="n">
        <v>2</v>
      </c>
      <c r="F51" s="28" t="n">
        <v>3</v>
      </c>
      <c r="G51" s="28" t="n">
        <v>4</v>
      </c>
      <c r="H51" s="28" t="n">
        <v>5</v>
      </c>
      <c r="I51" s="28" t="n">
        <v>6</v>
      </c>
      <c r="J51" s="28" t="n">
        <v>7</v>
      </c>
      <c r="K51" s="28" t="n">
        <v>8</v>
      </c>
      <c r="L51" s="28" t="n">
        <v>9</v>
      </c>
      <c r="M51" s="28" t="n">
        <v>10</v>
      </c>
      <c r="N51" s="28" t="n">
        <v>11</v>
      </c>
      <c r="O51" s="28" t="n">
        <v>12</v>
      </c>
      <c r="P51" s="28" t="n">
        <v>13</v>
      </c>
      <c r="Q51" s="28" t="n">
        <v>14</v>
      </c>
      <c r="R51" s="28" t="n">
        <v>15</v>
      </c>
      <c r="S51" s="28" t="n">
        <v>16</v>
      </c>
      <c r="T51" s="28" t="n">
        <v>17</v>
      </c>
      <c r="U51" s="28" t="n">
        <v>18</v>
      </c>
      <c r="V51" s="28" t="n">
        <v>19</v>
      </c>
      <c r="W51" s="28" t="n">
        <v>20</v>
      </c>
    </row>
    <row r="52" customFormat="false" ht="15" hidden="false" customHeight="false" outlineLevel="0" collapsed="false">
      <c r="A52" s="29" t="s">
        <v>283</v>
      </c>
      <c r="C52" s="30"/>
      <c r="D52" s="30" t="n">
        <f aca="false">$B$7+D51-1</f>
        <v>2028</v>
      </c>
      <c r="E52" s="30" t="n">
        <f aca="false">$B$7+E51-1</f>
        <v>2029</v>
      </c>
      <c r="F52" s="30" t="n">
        <f aca="false">$B$7+F51-1</f>
        <v>2030</v>
      </c>
      <c r="G52" s="30" t="n">
        <f aca="false">$B$7+G51-1</f>
        <v>2031</v>
      </c>
      <c r="H52" s="30" t="n">
        <f aca="false">$B$7+H51-1</f>
        <v>2032</v>
      </c>
      <c r="I52" s="30" t="n">
        <f aca="false">$B$7+I51-1</f>
        <v>2033</v>
      </c>
      <c r="J52" s="30" t="n">
        <f aca="false">$B$7+J51-1</f>
        <v>2034</v>
      </c>
      <c r="K52" s="30" t="n">
        <f aca="false">$B$7+K51-1</f>
        <v>2035</v>
      </c>
      <c r="L52" s="30" t="n">
        <f aca="false">$B$7+L51-1</f>
        <v>2036</v>
      </c>
      <c r="M52" s="30" t="n">
        <f aca="false">$B$7+M51-1</f>
        <v>2037</v>
      </c>
      <c r="N52" s="30" t="n">
        <f aca="false">$B$7+N51-1</f>
        <v>2038</v>
      </c>
      <c r="O52" s="30" t="n">
        <f aca="false">$B$7+O51-1</f>
        <v>2039</v>
      </c>
      <c r="P52" s="30" t="n">
        <f aca="false">$B$7+P51-1</f>
        <v>2040</v>
      </c>
      <c r="Q52" s="30" t="n">
        <f aca="false">$B$7+Q51-1</f>
        <v>2041</v>
      </c>
      <c r="R52" s="30" t="n">
        <f aca="false">$B$7+R51-1</f>
        <v>2042</v>
      </c>
      <c r="S52" s="30" t="n">
        <f aca="false">$B$7+S51-1</f>
        <v>2043</v>
      </c>
      <c r="T52" s="30" t="n">
        <f aca="false">$B$7+T51-1</f>
        <v>2044</v>
      </c>
      <c r="U52" s="30" t="n">
        <f aca="false">$B$7+U51-1</f>
        <v>2045</v>
      </c>
      <c r="V52" s="30" t="n">
        <f aca="false">$B$7+V51-1</f>
        <v>2046</v>
      </c>
      <c r="W52" s="30" t="n">
        <f aca="false">$B$7+W51-1</f>
        <v>2047</v>
      </c>
    </row>
    <row r="53" customFormat="false" ht="15" hidden="false" customHeight="false" outlineLevel="0" collapsed="false">
      <c r="A53" s="29" t="s">
        <v>284</v>
      </c>
      <c r="C53" s="30" t="n">
        <v>0</v>
      </c>
      <c r="D53" s="30" t="n">
        <f aca="false">IF(D51&lt;=$B$8,1,0)</f>
        <v>1</v>
      </c>
      <c r="E53" s="30" t="n">
        <f aca="false">IF(E51&lt;=$B$8,1,0)</f>
        <v>1</v>
      </c>
      <c r="F53" s="30" t="n">
        <f aca="false">IF(F51&lt;=$B$8,1,0)</f>
        <v>1</v>
      </c>
      <c r="G53" s="30" t="n">
        <f aca="false">IF(G51&lt;=$B$8,1,0)</f>
        <v>1</v>
      </c>
      <c r="H53" s="30" t="n">
        <f aca="false">IF(H51&lt;=$B$8,1,0)</f>
        <v>1</v>
      </c>
      <c r="I53" s="30" t="n">
        <f aca="false">IF(I51&lt;=$B$8,1,0)</f>
        <v>1</v>
      </c>
      <c r="J53" s="30" t="n">
        <f aca="false">IF(J51&lt;=$B$8,1,0)</f>
        <v>1</v>
      </c>
      <c r="K53" s="30" t="n">
        <f aca="false">IF(K51&lt;=$B$8,1,0)</f>
        <v>1</v>
      </c>
      <c r="L53" s="30" t="n">
        <f aca="false">IF(L51&lt;=$B$8,1,0)</f>
        <v>1</v>
      </c>
      <c r="M53" s="30" t="n">
        <f aca="false">IF(M51&lt;=$B$8,1,0)</f>
        <v>1</v>
      </c>
      <c r="N53" s="30" t="n">
        <f aca="false">IF(N51&lt;=$B$8,1,0)</f>
        <v>1</v>
      </c>
      <c r="O53" s="30" t="n">
        <f aca="false">IF(O51&lt;=$B$8,1,0)</f>
        <v>1</v>
      </c>
      <c r="P53" s="30" t="n">
        <f aca="false">IF(P51&lt;=$B$8,1,0)</f>
        <v>1</v>
      </c>
      <c r="Q53" s="30" t="n">
        <f aca="false">IF(Q51&lt;=$B$8,1,0)</f>
        <v>1</v>
      </c>
      <c r="R53" s="30" t="n">
        <f aca="false">IF(R51&lt;=$B$8,1,0)</f>
        <v>1</v>
      </c>
      <c r="S53" s="30" t="n">
        <f aca="false">IF(S51&lt;=$B$8,1,0)</f>
        <v>0</v>
      </c>
      <c r="T53" s="30" t="n">
        <f aca="false">IF(T51&lt;=$B$8,1,0)</f>
        <v>0</v>
      </c>
      <c r="U53" s="30" t="n">
        <f aca="false">IF(U51&lt;=$B$8,1,0)</f>
        <v>0</v>
      </c>
      <c r="V53" s="30" t="n">
        <f aca="false">IF(V51&lt;=$B$8,1,0)</f>
        <v>0</v>
      </c>
      <c r="W53" s="30" t="n">
        <f aca="false">IF(W51&lt;=$B$8,1,0)</f>
        <v>0</v>
      </c>
    </row>
    <row r="54" customFormat="false" ht="15" hidden="false" customHeight="false" outlineLevel="0" collapsed="false">
      <c r="A54" s="29" t="s">
        <v>285</v>
      </c>
      <c r="C54" s="26" t="n">
        <v>1</v>
      </c>
      <c r="D54" s="26" t="n">
        <f aca="false">(1+$B$34)^(D52-2026)</f>
        <v>1.0404</v>
      </c>
      <c r="E54" s="26" t="n">
        <f aca="false">(1+$B$34)^(E52-2026)</f>
        <v>1.061208</v>
      </c>
      <c r="F54" s="26" t="n">
        <f aca="false">(1+$B$34)^(F52-2026)</f>
        <v>1.08243216</v>
      </c>
      <c r="G54" s="26" t="n">
        <f aca="false">(1+$B$34)^(G52-2026)</f>
        <v>1.1040808032</v>
      </c>
      <c r="H54" s="26" t="n">
        <f aca="false">(1+$B$34)^(H52-2026)</f>
        <v>1.126162419264</v>
      </c>
      <c r="I54" s="26" t="n">
        <f aca="false">(1+$B$34)^(I52-2026)</f>
        <v>1.14868566764928</v>
      </c>
      <c r="J54" s="26" t="n">
        <f aca="false">(1+$B$34)^(J52-2026)</f>
        <v>1.17165938100227</v>
      </c>
      <c r="K54" s="26" t="n">
        <f aca="false">(1+$B$34)^(K52-2026)</f>
        <v>1.19509256862231</v>
      </c>
      <c r="L54" s="26" t="n">
        <f aca="false">(1+$B$34)^(L52-2026)</f>
        <v>1.21899441999476</v>
      </c>
      <c r="M54" s="26" t="n">
        <f aca="false">(1+$B$34)^(M52-2026)</f>
        <v>1.24337430839465</v>
      </c>
      <c r="N54" s="26" t="n">
        <f aca="false">(1+$B$34)^(N52-2026)</f>
        <v>1.26824179456255</v>
      </c>
      <c r="O54" s="26" t="n">
        <f aca="false">(1+$B$34)^(O52-2026)</f>
        <v>1.2936066304538</v>
      </c>
      <c r="P54" s="26" t="n">
        <f aca="false">(1+$B$34)^(P52-2026)</f>
        <v>1.31947876306287</v>
      </c>
      <c r="Q54" s="26" t="n">
        <f aca="false">(1+$B$34)^(Q52-2026)</f>
        <v>1.34586833832413</v>
      </c>
      <c r="R54" s="26" t="n">
        <f aca="false">(1+$B$34)^(R52-2026)</f>
        <v>1.37278570509061</v>
      </c>
      <c r="S54" s="26" t="n">
        <f aca="false">(1+$B$34)^(S52-2026)</f>
        <v>1.40024141919242</v>
      </c>
      <c r="T54" s="26" t="n">
        <f aca="false">(1+$B$34)^(T52-2026)</f>
        <v>1.42824624757627</v>
      </c>
      <c r="U54" s="26" t="n">
        <f aca="false">(1+$B$34)^(U52-2026)</f>
        <v>1.4568111725278</v>
      </c>
      <c r="V54" s="26" t="n">
        <f aca="false">(1+$B$34)^(V52-2026)</f>
        <v>1.48594739597836</v>
      </c>
      <c r="W54" s="26" t="n">
        <f aca="false">(1+$B$34)^(W52-2026)</f>
        <v>1.51566634389792</v>
      </c>
    </row>
    <row r="55" customFormat="false" ht="15" hidden="false" customHeight="false" outlineLevel="0" collapsed="false">
      <c r="A55" s="29" t="s">
        <v>286</v>
      </c>
      <c r="C55" s="26" t="n">
        <v>1</v>
      </c>
      <c r="D55" s="26" t="n">
        <f aca="false">(1-$B$10)^(D51-1)</f>
        <v>1</v>
      </c>
      <c r="E55" s="26" t="n">
        <f aca="false">(1-$B$10)^(E51-1)</f>
        <v>0.985</v>
      </c>
      <c r="F55" s="26" t="n">
        <f aca="false">(1-$B$10)^(F51-1)</f>
        <v>0.970225</v>
      </c>
      <c r="G55" s="26" t="n">
        <f aca="false">(1-$B$10)^(G51-1)</f>
        <v>0.955671625</v>
      </c>
      <c r="H55" s="26" t="n">
        <f aca="false">(1-$B$10)^(H51-1)</f>
        <v>0.941336550625</v>
      </c>
      <c r="I55" s="26" t="n">
        <f aca="false">(1-$B$10)^(I51-1)</f>
        <v>0.927216502365625</v>
      </c>
      <c r="J55" s="26" t="n">
        <f aca="false">(1-$B$10)^(J51-1)</f>
        <v>0.913308254830141</v>
      </c>
      <c r="K55" s="26" t="n">
        <f aca="false">(1-$B$10)^(K51-1)</f>
        <v>0.899608631007688</v>
      </c>
      <c r="L55" s="26" t="n">
        <f aca="false">(1-$B$10)^(L51-1)</f>
        <v>0.886114501542573</v>
      </c>
      <c r="M55" s="26" t="n">
        <f aca="false">(1-$B$10)^(M51-1)</f>
        <v>0.872822784019435</v>
      </c>
      <c r="N55" s="26" t="n">
        <f aca="false">(1-$B$10)^(N51-1)</f>
        <v>0.859730442259143</v>
      </c>
      <c r="O55" s="26" t="n">
        <f aca="false">(1-$B$10)^(O51-1)</f>
        <v>0.846834485625256</v>
      </c>
      <c r="P55" s="26" t="n">
        <f aca="false">(1-$B$10)^(P51-1)</f>
        <v>0.834131968340877</v>
      </c>
      <c r="Q55" s="26" t="n">
        <f aca="false">(1-$B$10)^(Q51-1)</f>
        <v>0.821619988815764</v>
      </c>
      <c r="R55" s="26" t="n">
        <f aca="false">(1-$B$10)^(R51-1)</f>
        <v>0.809295688983527</v>
      </c>
      <c r="S55" s="26" t="n">
        <f aca="false">(1-$B$10)^(S51-1)</f>
        <v>0.797156253648774</v>
      </c>
      <c r="T55" s="26" t="n">
        <f aca="false">(1-$B$10)^(T51-1)</f>
        <v>0.785198909844043</v>
      </c>
      <c r="U55" s="26" t="n">
        <f aca="false">(1-$B$10)^(U51-1)</f>
        <v>0.773420926196382</v>
      </c>
      <c r="V55" s="26" t="n">
        <f aca="false">(1-$B$10)^(V51-1)</f>
        <v>0.761819612303436</v>
      </c>
      <c r="W55" s="26" t="n">
        <f aca="false">(1-$B$10)^(W51-1)</f>
        <v>0.750392318118885</v>
      </c>
    </row>
    <row r="56" customFormat="false" ht="15" hidden="false" customHeight="false" outlineLevel="0" collapsed="false">
      <c r="A56" s="29" t="s">
        <v>287</v>
      </c>
      <c r="C56" s="24" t="n">
        <v>0</v>
      </c>
      <c r="D56" s="24" t="n">
        <f aca="false">$B$5*$B$45*$B$16*$B$17*(1+$B$18)*(1+$B$19)^(D51-1)*D55*$B$9*D54*D53</f>
        <v>1015593.55619368</v>
      </c>
      <c r="E56" s="24" t="n">
        <f aca="false">$B$5*$B$45*$B$16*$B$17*(1+$B$18)*(1+$B$19)^(E51-1)*E55*$B$9*E54*E53</f>
        <v>1030570.51436686</v>
      </c>
      <c r="F56" s="24" t="n">
        <f aca="false">$B$5*$B$45*$B$16*$B$17*(1+$B$18)*(1+$B$19)^(F51-1)*F55*$B$9*F54*F53</f>
        <v>1045768.33774223</v>
      </c>
      <c r="G56" s="24" t="n">
        <f aca="false">$B$5*$B$45*$B$16*$B$17*(1+$B$18)*(1+$B$19)^(G51-1)*G55*$B$9*G54*G53</f>
        <v>1061190.28341892</v>
      </c>
      <c r="H56" s="24" t="n">
        <f aca="false">$B$5*$B$45*$B$16*$B$17*(1+$B$18)*(1+$B$19)^(H51-1)*H55*$B$9*H54*H53</f>
        <v>1076839.6565285</v>
      </c>
      <c r="I56" s="24" t="n">
        <f aca="false">$B$5*$B$45*$B$16*$B$17*(1+$B$18)*(1+$B$19)^(I51-1)*I55*$B$9*I54*I53</f>
        <v>1092719.81094332</v>
      </c>
      <c r="J56" s="24" t="n">
        <f aca="false">$B$5*$B$45*$B$16*$B$17*(1+$B$18)*(1+$B$19)^(J51-1)*J55*$B$9*J54*J53</f>
        <v>1108834.1499953</v>
      </c>
      <c r="K56" s="24" t="n">
        <f aca="false">$B$5*$B$45*$B$16*$B$17*(1+$B$18)*(1+$B$19)^(K51-1)*K55*$B$9*K54*K53</f>
        <v>1125186.12720528</v>
      </c>
      <c r="L56" s="24" t="n">
        <f aca="false">$B$5*$B$45*$B$16*$B$17*(1+$B$18)*(1+$B$19)^(L51-1)*L55*$B$9*L54*L53</f>
        <v>1141779.24702318</v>
      </c>
      <c r="M56" s="24" t="n">
        <f aca="false">$B$5*$B$45*$B$16*$B$17*(1+$B$18)*(1+$B$19)^(M51-1)*M55*$B$9*M54*M53</f>
        <v>1158617.06557903</v>
      </c>
      <c r="N56" s="24" t="n">
        <f aca="false">$B$5*$B$45*$B$16*$B$17*(1+$B$18)*(1+$B$19)^(N51-1)*N55*$B$9*N54*N53</f>
        <v>1175703.19144513</v>
      </c>
      <c r="O56" s="24" t="n">
        <f aca="false">$B$5*$B$45*$B$16*$B$17*(1+$B$18)*(1+$B$19)^(O51-1)*O55*$B$9*O54*O53</f>
        <v>1193041.28640937</v>
      </c>
      <c r="P56" s="24" t="n">
        <f aca="false">$B$5*$B$45*$B$16*$B$17*(1+$B$18)*(1+$B$19)^(P51-1)*P55*$B$9*P54*P53</f>
        <v>1210635.06626005</v>
      </c>
      <c r="Q56" s="24" t="n">
        <f aca="false">$B$5*$B$45*$B$16*$B$17*(1+$B$18)*(1+$B$19)^(Q51-1)*Q55*$B$9*Q54*Q53</f>
        <v>1228488.30158218</v>
      </c>
      <c r="R56" s="24" t="n">
        <f aca="false">$B$5*$B$45*$B$16*$B$17*(1+$B$18)*(1+$B$19)^(R51-1)*R55*$B$9*R54*R53</f>
        <v>1246604.81856561</v>
      </c>
      <c r="S56" s="24" t="n">
        <f aca="false">$B$5*$B$45*$B$16*$B$17*(1+$B$18)*(1+$B$19)^(S51-1)*S55*$B$9*S54*S53</f>
        <v>0</v>
      </c>
      <c r="T56" s="24" t="n">
        <f aca="false">$B$5*$B$45*$B$16*$B$17*(1+$B$18)*(1+$B$19)^(T51-1)*T55*$B$9*T54*T53</f>
        <v>0</v>
      </c>
      <c r="U56" s="24" t="n">
        <f aca="false">$B$5*$B$45*$B$16*$B$17*(1+$B$18)*(1+$B$19)^(U51-1)*U55*$B$9*U54*U53</f>
        <v>0</v>
      </c>
      <c r="V56" s="24" t="n">
        <f aca="false">$B$5*$B$45*$B$16*$B$17*(1+$B$18)*(1+$B$19)^(V51-1)*V55*$B$9*V54*V53</f>
        <v>0</v>
      </c>
      <c r="W56" s="24" t="n">
        <f aca="false">$B$5*$B$45*$B$16*$B$17*(1+$B$18)*(1+$B$19)^(W51-1)*W55*$B$9*W54*W53</f>
        <v>0</v>
      </c>
    </row>
    <row r="57" customFormat="false" ht="15" hidden="false" customHeight="false" outlineLevel="0" collapsed="false">
      <c r="A57" s="29" t="s">
        <v>288</v>
      </c>
      <c r="C57" s="24" t="n">
        <v>0</v>
      </c>
      <c r="D57" s="24" t="n">
        <f aca="false">$B$5*MAX($B$20*(1+$B$21)^(D51-1),$B$22)*$B$9*D54*D53</f>
        <v>706431.6</v>
      </c>
      <c r="E57" s="24" t="n">
        <f aca="false">$B$5*MAX($B$20*(1+$B$21)^(E51-1),$B$22)*$B$9*E54*E53</f>
        <v>684532.2204</v>
      </c>
      <c r="F57" s="24" t="n">
        <f aca="false">$B$5*MAX($B$20*(1+$B$21)^(F51-1),$B$22)*$B$9*F54*F53</f>
        <v>663311.7215676</v>
      </c>
      <c r="G57" s="24" t="n">
        <f aca="false">$B$5*MAX($B$20*(1+$B$21)^(G51-1),$B$22)*$B$9*G54*G53</f>
        <v>642749.058199004</v>
      </c>
      <c r="H57" s="24" t="n">
        <f aca="false">$B$5*MAX($B$20*(1+$B$21)^(H51-1),$B$22)*$B$9*H54*H53</f>
        <v>622823.837394835</v>
      </c>
      <c r="I57" s="24" t="n">
        <f aca="false">$B$5*MAX($B$20*(1+$B$21)^(I51-1),$B$22)*$B$9*I54*I53</f>
        <v>603516.298435595</v>
      </c>
      <c r="J57" s="24" t="n">
        <f aca="false">$B$5*MAX($B$20*(1+$B$21)^(J51-1),$B$22)*$B$9*J54*J53</f>
        <v>584807.293184092</v>
      </c>
      <c r="K57" s="24" t="n">
        <f aca="false">$B$5*MAX($B$20*(1+$B$21)^(K51-1),$B$22)*$B$9*K54*K53</f>
        <v>566678.267095385</v>
      </c>
      <c r="L57" s="24" t="n">
        <f aca="false">$B$5*MAX($B$20*(1+$B$21)^(L51-1),$B$22)*$B$9*L54*L53</f>
        <v>549111.240815428</v>
      </c>
      <c r="M57" s="24" t="n">
        <f aca="false">$B$5*MAX($B$20*(1+$B$21)^(M51-1),$B$22)*$B$9*M54*M53</f>
        <v>532088.79235015</v>
      </c>
      <c r="N57" s="24" t="n">
        <f aca="false">$B$5*MAX($B$20*(1+$B$21)^(N51-1),$B$22)*$B$9*N54*N53</f>
        <v>515594.039787295</v>
      </c>
      <c r="O57" s="24" t="n">
        <f aca="false">$B$5*MAX($B$20*(1+$B$21)^(O51-1),$B$22)*$B$9*O54*O53</f>
        <v>499610.624553889</v>
      </c>
      <c r="P57" s="24" t="n">
        <f aca="false">$B$5*MAX($B$20*(1+$B$21)^(P51-1),$B$22)*$B$9*P54*P53</f>
        <v>484122.695192718</v>
      </c>
      <c r="Q57" s="24" t="n">
        <f aca="false">$B$5*MAX($B$20*(1+$B$21)^(Q51-1),$B$22)*$B$9*Q54*Q53</f>
        <v>469114.891641744</v>
      </c>
      <c r="R57" s="24" t="n">
        <f aca="false">$B$5*MAX($B$20*(1+$B$21)^(R51-1),$B$22)*$B$9*R54*R53</f>
        <v>454572.33000085</v>
      </c>
      <c r="S57" s="24" t="n">
        <f aca="false">$B$5*MAX($B$20*(1+$B$21)^(S51-1),$B$22)*$B$9*S54*S53</f>
        <v>0</v>
      </c>
      <c r="T57" s="24" t="n">
        <f aca="false">$B$5*MAX($B$20*(1+$B$21)^(T51-1),$B$22)*$B$9*T54*T53</f>
        <v>0</v>
      </c>
      <c r="U57" s="24" t="n">
        <f aca="false">$B$5*MAX($B$20*(1+$B$21)^(U51-1),$B$22)*$B$9*U54*U53</f>
        <v>0</v>
      </c>
      <c r="V57" s="24" t="n">
        <f aca="false">$B$5*MAX($B$20*(1+$B$21)^(V51-1),$B$22)*$B$9*V54*V53</f>
        <v>0</v>
      </c>
      <c r="W57" s="24" t="n">
        <f aca="false">$B$5*MAX($B$20*(1+$B$21)^(W51-1),$B$22)*$B$9*W54*W53</f>
        <v>0</v>
      </c>
    </row>
    <row r="58" customFormat="false" ht="15" hidden="false" customHeight="false" outlineLevel="0" collapsed="false">
      <c r="A58" s="9" t="s">
        <v>289</v>
      </c>
      <c r="C58" s="31" t="n">
        <f aca="false">C56+C57</f>
        <v>0</v>
      </c>
      <c r="D58" s="31" t="n">
        <f aca="false">D56+D57</f>
        <v>1722025.15619368</v>
      </c>
      <c r="E58" s="31" t="n">
        <f aca="false">E56+E57</f>
        <v>1715102.73476687</v>
      </c>
      <c r="F58" s="31" t="n">
        <f aca="false">F56+F57</f>
        <v>1709080.05930983</v>
      </c>
      <c r="G58" s="31" t="n">
        <f aca="false">G56+G57</f>
        <v>1703939.34161792</v>
      </c>
      <c r="H58" s="31" t="n">
        <f aca="false">H56+H57</f>
        <v>1699663.49392333</v>
      </c>
      <c r="I58" s="31" t="n">
        <f aca="false">I56+I57</f>
        <v>1696236.10937892</v>
      </c>
      <c r="J58" s="31" t="n">
        <f aca="false">J56+J57</f>
        <v>1693641.4431794</v>
      </c>
      <c r="K58" s="31" t="n">
        <f aca="false">K56+K57</f>
        <v>1691864.39430067</v>
      </c>
      <c r="L58" s="31" t="n">
        <f aca="false">L56+L57</f>
        <v>1690890.48783861</v>
      </c>
      <c r="M58" s="31" t="n">
        <f aca="false">M56+M57</f>
        <v>1690705.85792918</v>
      </c>
      <c r="N58" s="31" t="n">
        <f aca="false">N56+N57</f>
        <v>1691297.23123242</v>
      </c>
      <c r="O58" s="31" t="n">
        <f aca="false">O56+O57</f>
        <v>1692651.91096326</v>
      </c>
      <c r="P58" s="31" t="n">
        <f aca="false">P56+P57</f>
        <v>1694757.76145276</v>
      </c>
      <c r="Q58" s="31" t="n">
        <f aca="false">Q56+Q57</f>
        <v>1697603.19322393</v>
      </c>
      <c r="R58" s="31" t="n">
        <f aca="false">R56+R57</f>
        <v>1701177.14856647</v>
      </c>
      <c r="S58" s="31" t="n">
        <f aca="false">S56+S57</f>
        <v>0</v>
      </c>
      <c r="T58" s="31" t="n">
        <f aca="false">T56+T57</f>
        <v>0</v>
      </c>
      <c r="U58" s="31" t="n">
        <f aca="false">U56+U57</f>
        <v>0</v>
      </c>
      <c r="V58" s="31" t="n">
        <f aca="false">V56+V57</f>
        <v>0</v>
      </c>
      <c r="W58" s="31" t="n">
        <f aca="false">W56+W57</f>
        <v>0</v>
      </c>
    </row>
    <row r="59" customFormat="false" ht="15" hidden="false" customHeight="false" outlineLevel="0" collapsed="false">
      <c r="A59" s="29" t="s">
        <v>290</v>
      </c>
      <c r="C59" s="24" t="n">
        <v>0</v>
      </c>
      <c r="D59" s="24" t="n">
        <f aca="false">-$B$5*$B$46*D55*$B$9*($B$47/$B$11+$B$48)*D54*D53</f>
        <v>-172997.398120027</v>
      </c>
      <c r="E59" s="24" t="n">
        <f aca="false">-$B$5*$B$46*E55*$B$9*($B$47/$B$11+$B$48)*E54*E53</f>
        <v>-173810.485891191</v>
      </c>
      <c r="F59" s="24" t="n">
        <f aca="false">-$B$5*$B$46*F55*$B$9*($B$47/$B$11+$B$48)*F54*F53</f>
        <v>-174627.39517488</v>
      </c>
      <c r="G59" s="24" t="n">
        <f aca="false">-$B$5*$B$46*G55*$B$9*($B$47/$B$11+$B$48)*G54*G53</f>
        <v>-175448.143932202</v>
      </c>
      <c r="H59" s="24" t="n">
        <f aca="false">-$B$5*$B$46*H55*$B$9*($B$47/$B$11+$B$48)*H54*H53</f>
        <v>-176272.750208683</v>
      </c>
      <c r="I59" s="24" t="n">
        <f aca="false">-$B$5*$B$46*I55*$B$9*($B$47/$B$11+$B$48)*I54*I53</f>
        <v>-177101.232134664</v>
      </c>
      <c r="J59" s="24" t="n">
        <f aca="false">-$B$5*$B$46*J55*$B$9*($B$47/$B$11+$B$48)*J54*J53</f>
        <v>-177933.607925697</v>
      </c>
      <c r="K59" s="24" t="n">
        <f aca="false">-$B$5*$B$46*K55*$B$9*($B$47/$B$11+$B$48)*K54*K53</f>
        <v>-178769.895882948</v>
      </c>
      <c r="L59" s="24" t="n">
        <f aca="false">-$B$5*$B$46*L55*$B$9*($B$47/$B$11+$B$48)*L54*L53</f>
        <v>-179610.114393597</v>
      </c>
      <c r="M59" s="24" t="n">
        <f aca="false">-$B$5*$B$46*M55*$B$9*($B$47/$B$11+$B$48)*M54*M53</f>
        <v>-180454.281931247</v>
      </c>
      <c r="N59" s="24" t="n">
        <f aca="false">-$B$5*$B$46*N55*$B$9*($B$47/$B$11+$B$48)*N54*N53</f>
        <v>-181302.417056324</v>
      </c>
      <c r="O59" s="24" t="n">
        <f aca="false">-$B$5*$B$46*O55*$B$9*($B$47/$B$11+$B$48)*O54*O53</f>
        <v>-182154.538416489</v>
      </c>
      <c r="P59" s="24" t="n">
        <f aca="false">-$B$5*$B$46*P55*$B$9*($B$47/$B$11+$B$48)*P54*P53</f>
        <v>-183010.664747046</v>
      </c>
      <c r="Q59" s="24" t="n">
        <f aca="false">-$B$5*$B$46*Q55*$B$9*($B$47/$B$11+$B$48)*Q54*Q53</f>
        <v>-183870.814871358</v>
      </c>
      <c r="R59" s="24" t="n">
        <f aca="false">-$B$5*$B$46*R55*$B$9*($B$47/$B$11+$B$48)*R54*R53</f>
        <v>-184735.007701253</v>
      </c>
      <c r="S59" s="24" t="n">
        <f aca="false">-$B$5*$B$46*S55*$B$9*($B$47/$B$11+$B$48)*S54*S53</f>
        <v>-0</v>
      </c>
      <c r="T59" s="24" t="n">
        <f aca="false">-$B$5*$B$46*T55*$B$9*($B$47/$B$11+$B$48)*T54*T53</f>
        <v>-0</v>
      </c>
      <c r="U59" s="24" t="n">
        <f aca="false">-$B$5*$B$46*U55*$B$9*($B$47/$B$11+$B$48)*U54*U53</f>
        <v>-0</v>
      </c>
      <c r="V59" s="24" t="n">
        <f aca="false">-$B$5*$B$46*V55*$B$9*($B$47/$B$11+$B$48)*V54*V53</f>
        <v>-0</v>
      </c>
      <c r="W59" s="24" t="n">
        <f aca="false">-$B$5*$B$46*W55*$B$9*($B$47/$B$11+$B$48)*W54*W53</f>
        <v>-0</v>
      </c>
    </row>
    <row r="60" customFormat="false" ht="15" hidden="false" customHeight="false" outlineLevel="0" collapsed="false">
      <c r="A60" s="29" t="s">
        <v>291</v>
      </c>
      <c r="C60" s="24" t="n">
        <v>0</v>
      </c>
      <c r="D60" s="24" t="n">
        <f aca="false">-($B$29+$B$30)*$B$41*D54*D53</f>
        <v>-78030</v>
      </c>
      <c r="E60" s="24" t="n">
        <f aca="false">-($B$29+$B$30)*$B$41*E54*E53</f>
        <v>-79590.6</v>
      </c>
      <c r="F60" s="24" t="n">
        <f aca="false">-($B$29+$B$30)*$B$41*F54*F53</f>
        <v>-81182.412</v>
      </c>
      <c r="G60" s="24" t="n">
        <f aca="false">-($B$29+$B$30)*$B$41*G54*G53</f>
        <v>-82806.06024</v>
      </c>
      <c r="H60" s="24" t="n">
        <f aca="false">-($B$29+$B$30)*$B$41*H54*H53</f>
        <v>-84462.1814448</v>
      </c>
      <c r="I60" s="24" t="n">
        <f aca="false">-($B$29+$B$30)*$B$41*I54*I53</f>
        <v>-86151.425073696</v>
      </c>
      <c r="J60" s="24" t="n">
        <f aca="false">-($B$29+$B$30)*$B$41*J54*J53</f>
        <v>-87874.4535751699</v>
      </c>
      <c r="K60" s="24" t="n">
        <f aca="false">-($B$29+$B$30)*$B$41*K54*K53</f>
        <v>-89631.9426466733</v>
      </c>
      <c r="L60" s="24" t="n">
        <f aca="false">-($B$29+$B$30)*$B$41*L54*L53</f>
        <v>-91424.5814996068</v>
      </c>
      <c r="M60" s="24" t="n">
        <f aca="false">-($B$29+$B$30)*$B$41*M54*M53</f>
        <v>-93253.0731295989</v>
      </c>
      <c r="N60" s="24" t="n">
        <f aca="false">-($B$29+$B$30)*$B$41*N54*N53</f>
        <v>-95118.1345921909</v>
      </c>
      <c r="O60" s="24" t="n">
        <f aca="false">-($B$29+$B$30)*$B$41*O54*O53</f>
        <v>-97020.4972840348</v>
      </c>
      <c r="P60" s="24" t="n">
        <f aca="false">-($B$29+$B$30)*$B$41*P54*P53</f>
        <v>-98960.9072297154</v>
      </c>
      <c r="Q60" s="24" t="n">
        <f aca="false">-($B$29+$B$30)*$B$41*Q54*Q53</f>
        <v>-100940.12537431</v>
      </c>
      <c r="R60" s="24" t="n">
        <f aca="false">-($B$29+$B$30)*$B$41*R54*R53</f>
        <v>-102958.927881796</v>
      </c>
      <c r="S60" s="24" t="n">
        <f aca="false">-($B$29+$B$30)*$B$41*S54*S53</f>
        <v>-0</v>
      </c>
      <c r="T60" s="24" t="n">
        <f aca="false">-($B$29+$B$30)*$B$41*T54*T53</f>
        <v>-0</v>
      </c>
      <c r="U60" s="24" t="n">
        <f aca="false">-($B$29+$B$30)*$B$41*U54*U53</f>
        <v>-0</v>
      </c>
      <c r="V60" s="24" t="n">
        <f aca="false">-($B$29+$B$30)*$B$41*V54*V53</f>
        <v>-0</v>
      </c>
      <c r="W60" s="24" t="n">
        <f aca="false">-($B$29+$B$30)*$B$41*W54*W53</f>
        <v>-0</v>
      </c>
    </row>
    <row r="61" customFormat="false" ht="15" hidden="false" customHeight="false" outlineLevel="0" collapsed="false">
      <c r="A61" s="29" t="s">
        <v>292</v>
      </c>
      <c r="C61" s="24" t="n">
        <f aca="false">-$B$31*C58</f>
        <v>-0</v>
      </c>
      <c r="D61" s="24" t="n">
        <f aca="false">-$B$31*D58</f>
        <v>-120541.760933557</v>
      </c>
      <c r="E61" s="24" t="n">
        <f aca="false">-$B$31*E58</f>
        <v>-120057.191433681</v>
      </c>
      <c r="F61" s="24" t="n">
        <f aca="false">-$B$31*F58</f>
        <v>-119635.604151688</v>
      </c>
      <c r="G61" s="24" t="n">
        <f aca="false">-$B$31*G58</f>
        <v>-119275.753913255</v>
      </c>
      <c r="H61" s="24" t="n">
        <f aca="false">-$B$31*H58</f>
        <v>-118976.444574633</v>
      </c>
      <c r="I61" s="24" t="n">
        <f aca="false">-$B$31*I58</f>
        <v>-118736.527656524</v>
      </c>
      <c r="J61" s="24" t="n">
        <f aca="false">-$B$31*J58</f>
        <v>-118554.901022558</v>
      </c>
      <c r="K61" s="24" t="n">
        <f aca="false">-$B$31*K58</f>
        <v>-118430.507601047</v>
      </c>
      <c r="L61" s="24" t="n">
        <f aca="false">-$B$31*L58</f>
        <v>-118362.334148703</v>
      </c>
      <c r="M61" s="24" t="n">
        <f aca="false">-$B$31*M58</f>
        <v>-118349.410055043</v>
      </c>
      <c r="N61" s="24" t="n">
        <f aca="false">-$B$31*N58</f>
        <v>-118390.806186269</v>
      </c>
      <c r="O61" s="24" t="n">
        <f aca="false">-$B$31*O58</f>
        <v>-118485.633767428</v>
      </c>
      <c r="P61" s="24" t="n">
        <f aca="false">-$B$31*P58</f>
        <v>-118633.043301693</v>
      </c>
      <c r="Q61" s="24" t="n">
        <f aca="false">-$B$31*Q58</f>
        <v>-118832.223525675</v>
      </c>
      <c r="R61" s="24" t="n">
        <f aca="false">-$B$31*R58</f>
        <v>-119082.400399653</v>
      </c>
      <c r="S61" s="24" t="n">
        <f aca="false">-$B$31*S58</f>
        <v>-0</v>
      </c>
      <c r="T61" s="24" t="n">
        <f aca="false">-$B$31*T58</f>
        <v>-0</v>
      </c>
      <c r="U61" s="24" t="n">
        <f aca="false">-$B$31*U58</f>
        <v>-0</v>
      </c>
      <c r="V61" s="24" t="n">
        <f aca="false">-$B$31*V58</f>
        <v>-0</v>
      </c>
      <c r="W61" s="24" t="n">
        <f aca="false">-$B$31*W58</f>
        <v>-0</v>
      </c>
    </row>
    <row r="62" customFormat="false" ht="15" hidden="false" customHeight="false" outlineLevel="0" collapsed="false">
      <c r="A62" s="29" t="s">
        <v>293</v>
      </c>
      <c r="C62" s="24" t="n">
        <v>0</v>
      </c>
      <c r="D62" s="24" t="n">
        <f aca="false">-$B$32*$B$5*D54*D53</f>
        <v>-31212</v>
      </c>
      <c r="E62" s="24" t="n">
        <f aca="false">-$B$32*$B$5*E54*E53</f>
        <v>-31836.24</v>
      </c>
      <c r="F62" s="24" t="n">
        <f aca="false">-$B$32*$B$5*F54*F53</f>
        <v>-32472.9648</v>
      </c>
      <c r="G62" s="24" t="n">
        <f aca="false">-$B$32*$B$5*G54*G53</f>
        <v>-33122.424096</v>
      </c>
      <c r="H62" s="24" t="n">
        <f aca="false">-$B$32*$B$5*H54*H53</f>
        <v>-33784.87257792</v>
      </c>
      <c r="I62" s="24" t="n">
        <f aca="false">-$B$32*$B$5*I54*I53</f>
        <v>-34460.5700294784</v>
      </c>
      <c r="J62" s="24" t="n">
        <f aca="false">-$B$32*$B$5*J54*J53</f>
        <v>-35149.781430068</v>
      </c>
      <c r="K62" s="24" t="n">
        <f aca="false">-$B$32*$B$5*K54*K53</f>
        <v>-35852.7770586693</v>
      </c>
      <c r="L62" s="24" t="n">
        <f aca="false">-$B$32*$B$5*L54*L53</f>
        <v>-36569.8325998427</v>
      </c>
      <c r="M62" s="24" t="n">
        <f aca="false">-$B$32*$B$5*M54*M53</f>
        <v>-37301.2292518396</v>
      </c>
      <c r="N62" s="24" t="n">
        <f aca="false">-$B$32*$B$5*N54*N53</f>
        <v>-38047.2538368764</v>
      </c>
      <c r="O62" s="24" t="n">
        <f aca="false">-$B$32*$B$5*O54*O53</f>
        <v>-38808.1989136139</v>
      </c>
      <c r="P62" s="24" t="n">
        <f aca="false">-$B$32*$B$5*P54*P53</f>
        <v>-39584.3628918862</v>
      </c>
      <c r="Q62" s="24" t="n">
        <f aca="false">-$B$32*$B$5*Q54*Q53</f>
        <v>-40376.0501497239</v>
      </c>
      <c r="R62" s="24" t="n">
        <f aca="false">-$B$32*$B$5*R54*R53</f>
        <v>-41183.5711527184</v>
      </c>
      <c r="S62" s="24" t="n">
        <f aca="false">-$B$32*$B$5*S54*S53</f>
        <v>-0</v>
      </c>
      <c r="T62" s="24" t="n">
        <f aca="false">-$B$32*$B$5*T54*T53</f>
        <v>-0</v>
      </c>
      <c r="U62" s="24" t="n">
        <f aca="false">-$B$32*$B$5*U54*U53</f>
        <v>-0</v>
      </c>
      <c r="V62" s="24" t="n">
        <f aca="false">-$B$32*$B$5*V54*V53</f>
        <v>-0</v>
      </c>
      <c r="W62" s="24" t="n">
        <f aca="false">-$B$32*$B$5*W54*W53</f>
        <v>-0</v>
      </c>
    </row>
    <row r="63" customFormat="false" ht="15" hidden="false" customHeight="false" outlineLevel="0" collapsed="false">
      <c r="A63" s="29" t="s">
        <v>294</v>
      </c>
      <c r="C63" s="24" t="n">
        <v>0</v>
      </c>
      <c r="D63" s="24" t="n">
        <f aca="false">-$B$33*D54*D53</f>
        <v>-31212</v>
      </c>
      <c r="E63" s="24" t="n">
        <f aca="false">-$B$33*E54*E53</f>
        <v>-31836.24</v>
      </c>
      <c r="F63" s="24" t="n">
        <f aca="false">-$B$33*F54*F53</f>
        <v>-32472.9648</v>
      </c>
      <c r="G63" s="24" t="n">
        <f aca="false">-$B$33*G54*G53</f>
        <v>-33122.424096</v>
      </c>
      <c r="H63" s="24" t="n">
        <f aca="false">-$B$33*H54*H53</f>
        <v>-33784.87257792</v>
      </c>
      <c r="I63" s="24" t="n">
        <f aca="false">-$B$33*I54*I53</f>
        <v>-34460.5700294784</v>
      </c>
      <c r="J63" s="24" t="n">
        <f aca="false">-$B$33*J54*J53</f>
        <v>-35149.781430068</v>
      </c>
      <c r="K63" s="24" t="n">
        <f aca="false">-$B$33*K54*K53</f>
        <v>-35852.7770586693</v>
      </c>
      <c r="L63" s="24" t="n">
        <f aca="false">-$B$33*L54*L53</f>
        <v>-36569.8325998427</v>
      </c>
      <c r="M63" s="24" t="n">
        <f aca="false">-$B$33*M54*M53</f>
        <v>-37301.2292518396</v>
      </c>
      <c r="N63" s="24" t="n">
        <f aca="false">-$B$33*N54*N53</f>
        <v>-38047.2538368764</v>
      </c>
      <c r="O63" s="24" t="n">
        <f aca="false">-$B$33*O54*O53</f>
        <v>-38808.1989136139</v>
      </c>
      <c r="P63" s="24" t="n">
        <f aca="false">-$B$33*P54*P53</f>
        <v>-39584.3628918862</v>
      </c>
      <c r="Q63" s="24" t="n">
        <f aca="false">-$B$33*Q54*Q53</f>
        <v>-40376.0501497239</v>
      </c>
      <c r="R63" s="24" t="n">
        <f aca="false">-$B$33*R54*R53</f>
        <v>-41183.5711527184</v>
      </c>
      <c r="S63" s="24" t="n">
        <f aca="false">-$B$33*S54*S53</f>
        <v>-0</v>
      </c>
      <c r="T63" s="24" t="n">
        <f aca="false">-$B$33*T54*T53</f>
        <v>-0</v>
      </c>
      <c r="U63" s="24" t="n">
        <f aca="false">-$B$33*U54*U53</f>
        <v>-0</v>
      </c>
      <c r="V63" s="24" t="n">
        <f aca="false">-$B$33*V54*V53</f>
        <v>-0</v>
      </c>
      <c r="W63" s="24" t="n">
        <f aca="false">-$B$33*W54*W53</f>
        <v>-0</v>
      </c>
    </row>
    <row r="64" customFormat="false" ht="15" hidden="false" customHeight="false" outlineLevel="0" collapsed="false">
      <c r="A64" s="9" t="s">
        <v>295</v>
      </c>
      <c r="C64" s="31" t="n">
        <f aca="false">C58+C59+C60+C61+C62+C63</f>
        <v>0</v>
      </c>
      <c r="D64" s="31" t="n">
        <f aca="false">D58+D59+D60+D61+D62+D63</f>
        <v>1288031.99714009</v>
      </c>
      <c r="E64" s="31" t="n">
        <f aca="false">E58+E59+E60+E61+E62+E63</f>
        <v>1277971.97744199</v>
      </c>
      <c r="F64" s="31" t="n">
        <f aca="false">F58+F59+F60+F61+F62+F63</f>
        <v>1268688.71838326</v>
      </c>
      <c r="G64" s="31" t="n">
        <f aca="false">G58+G59+G60+G61+G62+G63</f>
        <v>1260164.53534047</v>
      </c>
      <c r="H64" s="31" t="n">
        <f aca="false">H58+H59+H60+H61+H62+H63</f>
        <v>1252382.37253938</v>
      </c>
      <c r="I64" s="31" t="n">
        <f aca="false">I58+I59+I60+I61+I62+I63</f>
        <v>1245325.78445508</v>
      </c>
      <c r="J64" s="31" t="n">
        <f aca="false">J58+J59+J60+J61+J62+J63</f>
        <v>1238978.91779583</v>
      </c>
      <c r="K64" s="31" t="n">
        <f aca="false">K58+K59+K60+K61+K62+K63</f>
        <v>1233326.49405266</v>
      </c>
      <c r="L64" s="31" t="n">
        <f aca="false">L58+L59+L60+L61+L62+L63</f>
        <v>1228353.79259702</v>
      </c>
      <c r="M64" s="31" t="n">
        <f aca="false">M58+M59+M60+M61+M62+M63</f>
        <v>1224046.63430961</v>
      </c>
      <c r="N64" s="31" t="n">
        <f aca="false">N58+N59+N60+N61+N62+N63</f>
        <v>1220391.36572388</v>
      </c>
      <c r="O64" s="31" t="n">
        <f aca="false">O58+O59+O60+O61+O62+O63</f>
        <v>1217374.84366808</v>
      </c>
      <c r="P64" s="31" t="n">
        <f aca="false">P58+P59+P60+P61+P62+P63</f>
        <v>1214984.42039054</v>
      </c>
      <c r="Q64" s="31" t="n">
        <f aca="false">Q58+Q59+Q60+Q61+Q62+Q63</f>
        <v>1213207.92915314</v>
      </c>
      <c r="R64" s="31" t="n">
        <f aca="false">R58+R59+R60+R61+R62+R63</f>
        <v>1212033.67027833</v>
      </c>
      <c r="S64" s="31" t="n">
        <f aca="false">S58+S59+S60+S61+S62+S63</f>
        <v>0</v>
      </c>
      <c r="T64" s="31" t="n">
        <f aca="false">T58+T59+T60+T61+T62+T63</f>
        <v>0</v>
      </c>
      <c r="U64" s="31" t="n">
        <f aca="false">U58+U59+U60+U61+U62+U63</f>
        <v>0</v>
      </c>
      <c r="V64" s="31" t="n">
        <f aca="false">V58+V59+V60+V61+V62+V63</f>
        <v>0</v>
      </c>
      <c r="W64" s="31" t="n">
        <f aca="false">W58+W59+W60+W61+W62+W63</f>
        <v>0</v>
      </c>
    </row>
    <row r="65" customFormat="false" ht="15" hidden="false" customHeight="false" outlineLevel="0" collapsed="false">
      <c r="A65" s="29" t="s">
        <v>296</v>
      </c>
      <c r="C65" s="24" t="n">
        <f aca="false">-$B$42</f>
        <v>-5150000</v>
      </c>
      <c r="D65" s="24" t="n">
        <v>0</v>
      </c>
      <c r="E65" s="24" t="n">
        <v>0</v>
      </c>
      <c r="F65" s="24" t="n">
        <v>0</v>
      </c>
      <c r="G65" s="24" t="n">
        <v>0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0</v>
      </c>
      <c r="U65" s="24" t="n">
        <v>0</v>
      </c>
      <c r="V65" s="24" t="n">
        <v>0</v>
      </c>
      <c r="W65" s="24" t="n">
        <v>0</v>
      </c>
    </row>
    <row r="66" customFormat="false" ht="15" hidden="false" customHeight="false" outlineLevel="0" collapsed="false">
      <c r="A66" s="9" t="s">
        <v>297</v>
      </c>
      <c r="C66" s="31" t="n">
        <f aca="false">C64+C65</f>
        <v>-5150000</v>
      </c>
      <c r="D66" s="31" t="n">
        <f aca="false">D64+D65</f>
        <v>1288031.99714009</v>
      </c>
      <c r="E66" s="31" t="n">
        <f aca="false">E64+E65</f>
        <v>1277971.97744199</v>
      </c>
      <c r="F66" s="31" t="n">
        <f aca="false">F64+F65</f>
        <v>1268688.71838326</v>
      </c>
      <c r="G66" s="31" t="n">
        <f aca="false">G64+G65</f>
        <v>1260164.53534047</v>
      </c>
      <c r="H66" s="31" t="n">
        <f aca="false">H64+H65</f>
        <v>1252382.37253938</v>
      </c>
      <c r="I66" s="31" t="n">
        <f aca="false">I64+I65</f>
        <v>1245325.78445508</v>
      </c>
      <c r="J66" s="31" t="n">
        <f aca="false">J64+J65</f>
        <v>1238978.91779583</v>
      </c>
      <c r="K66" s="31" t="n">
        <f aca="false">K64+K65</f>
        <v>1233326.49405266</v>
      </c>
      <c r="L66" s="31" t="n">
        <f aca="false">L64+L65</f>
        <v>1228353.79259702</v>
      </c>
      <c r="M66" s="31" t="n">
        <f aca="false">M64+M65</f>
        <v>1224046.63430961</v>
      </c>
      <c r="N66" s="31" t="n">
        <f aca="false">N64+N65</f>
        <v>1220391.36572388</v>
      </c>
      <c r="O66" s="31" t="n">
        <f aca="false">O64+O65</f>
        <v>1217374.84366808</v>
      </c>
      <c r="P66" s="31" t="n">
        <f aca="false">P64+P65</f>
        <v>1214984.42039054</v>
      </c>
      <c r="Q66" s="31" t="n">
        <f aca="false">Q64+Q65</f>
        <v>1213207.92915314</v>
      </c>
      <c r="R66" s="31" t="n">
        <f aca="false">R64+R65</f>
        <v>1212033.67027833</v>
      </c>
      <c r="S66" s="31" t="n">
        <f aca="false">S64+S65</f>
        <v>0</v>
      </c>
      <c r="T66" s="31" t="n">
        <f aca="false">T64+T65</f>
        <v>0</v>
      </c>
      <c r="U66" s="31" t="n">
        <f aca="false">U64+U65</f>
        <v>0</v>
      </c>
      <c r="V66" s="31" t="n">
        <f aca="false">V64+V65</f>
        <v>0</v>
      </c>
      <c r="W66" s="31" t="n">
        <f aca="false">W64+W65</f>
        <v>0</v>
      </c>
    </row>
    <row r="68" customFormat="false" ht="15" hidden="false" customHeight="false" outlineLevel="0" collapsed="false">
      <c r="A68" s="9" t="s">
        <v>298</v>
      </c>
    </row>
    <row r="69" customFormat="false" ht="15" hidden="false" customHeight="false" outlineLevel="0" collapsed="false">
      <c r="A69" s="29" t="s">
        <v>299</v>
      </c>
      <c r="C69" s="24" t="n">
        <v>0</v>
      </c>
      <c r="D69" s="24" t="n">
        <f aca="false">$B$42</f>
        <v>5150000</v>
      </c>
      <c r="E69" s="24" t="n">
        <f aca="false">D71</f>
        <v>3862500</v>
      </c>
      <c r="F69" s="24" t="n">
        <f aca="false">E71</f>
        <v>2896875</v>
      </c>
      <c r="G69" s="24" t="n">
        <f aca="false">F71</f>
        <v>2172656.25</v>
      </c>
      <c r="H69" s="24" t="n">
        <f aca="false">G71</f>
        <v>1629492.1875</v>
      </c>
      <c r="I69" s="24" t="n">
        <f aca="false">H71</f>
        <v>1222119.140625</v>
      </c>
      <c r="J69" s="24" t="n">
        <f aca="false">I71</f>
        <v>916589.35546875</v>
      </c>
      <c r="K69" s="24" t="n">
        <f aca="false">J71</f>
        <v>687442.016601563</v>
      </c>
      <c r="L69" s="24" t="n">
        <f aca="false">K71</f>
        <v>515581.512451172</v>
      </c>
      <c r="M69" s="24" t="n">
        <f aca="false">L71</f>
        <v>386686.134338379</v>
      </c>
      <c r="N69" s="24" t="n">
        <f aca="false">M71</f>
        <v>290014.600753784</v>
      </c>
      <c r="O69" s="24" t="n">
        <f aca="false">N71</f>
        <v>217510.950565338</v>
      </c>
      <c r="P69" s="24" t="n">
        <f aca="false">O71</f>
        <v>163133.212924004</v>
      </c>
      <c r="Q69" s="24" t="n">
        <f aca="false">P71</f>
        <v>122349.909693003</v>
      </c>
      <c r="R69" s="24" t="n">
        <f aca="false">Q71</f>
        <v>91762.432269752</v>
      </c>
      <c r="S69" s="24" t="n">
        <f aca="false">R71</f>
        <v>0</v>
      </c>
      <c r="T69" s="24" t="n">
        <f aca="false">S71</f>
        <v>0</v>
      </c>
      <c r="U69" s="24" t="n">
        <f aca="false">T71</f>
        <v>0</v>
      </c>
      <c r="V69" s="24" t="n">
        <f aca="false">U71</f>
        <v>0</v>
      </c>
      <c r="W69" s="24" t="n">
        <f aca="false">V71</f>
        <v>0</v>
      </c>
    </row>
    <row r="70" customFormat="false" ht="15" hidden="false" customHeight="false" outlineLevel="0" collapsed="false">
      <c r="A70" s="29" t="s">
        <v>300</v>
      </c>
      <c r="C70" s="24" t="n">
        <v>0</v>
      </c>
      <c r="D70" s="24" t="n">
        <f aca="false">IF(D51=$B$8,D69,D69*$B$36)*D53</f>
        <v>1287500</v>
      </c>
      <c r="E70" s="24" t="n">
        <f aca="false">IF(E51=$B$8,E69,E69*$B$36)*E53</f>
        <v>965625</v>
      </c>
      <c r="F70" s="24" t="n">
        <f aca="false">IF(F51=$B$8,F69,F69*$B$36)*F53</f>
        <v>724218.75</v>
      </c>
      <c r="G70" s="24" t="n">
        <f aca="false">IF(G51=$B$8,G69,G69*$B$36)*G53</f>
        <v>543164.0625</v>
      </c>
      <c r="H70" s="24" t="n">
        <f aca="false">IF(H51=$B$8,H69,H69*$B$36)*H53</f>
        <v>407373.046875</v>
      </c>
      <c r="I70" s="24" t="n">
        <f aca="false">IF(I51=$B$8,I69,I69*$B$36)*I53</f>
        <v>305529.78515625</v>
      </c>
      <c r="J70" s="24" t="n">
        <f aca="false">IF(J51=$B$8,J69,J69*$B$36)*J53</f>
        <v>229147.338867188</v>
      </c>
      <c r="K70" s="24" t="n">
        <f aca="false">IF(K51=$B$8,K69,K69*$B$36)*K53</f>
        <v>171860.504150391</v>
      </c>
      <c r="L70" s="24" t="n">
        <f aca="false">IF(L51=$B$8,L69,L69*$B$36)*L53</f>
        <v>128895.378112793</v>
      </c>
      <c r="M70" s="24" t="n">
        <f aca="false">IF(M51=$B$8,M69,M69*$B$36)*M53</f>
        <v>96671.5335845947</v>
      </c>
      <c r="N70" s="24" t="n">
        <f aca="false">IF(N51=$B$8,N69,N69*$B$36)*N53</f>
        <v>72503.650188446</v>
      </c>
      <c r="O70" s="24" t="n">
        <f aca="false">IF(O51=$B$8,O69,O69*$B$36)*O53</f>
        <v>54377.7376413345</v>
      </c>
      <c r="P70" s="24" t="n">
        <f aca="false">IF(P51=$B$8,P69,P69*$B$36)*P53</f>
        <v>40783.3032310009</v>
      </c>
      <c r="Q70" s="24" t="n">
        <f aca="false">IF(Q51=$B$8,Q69,Q69*$B$36)*Q53</f>
        <v>30587.4774232507</v>
      </c>
      <c r="R70" s="24" t="n">
        <f aca="false">IF(R51=$B$8,R69,R69*$B$36)*R53</f>
        <v>91762.432269752</v>
      </c>
      <c r="S70" s="24" t="n">
        <f aca="false">IF(S51=$B$8,S69,S69*$B$36)*S53</f>
        <v>0</v>
      </c>
      <c r="T70" s="24" t="n">
        <f aca="false">IF(T51=$B$8,T69,T69*$B$36)*T53</f>
        <v>0</v>
      </c>
      <c r="U70" s="24" t="n">
        <f aca="false">IF(U51=$B$8,U69,U69*$B$36)*U53</f>
        <v>0</v>
      </c>
      <c r="V70" s="24" t="n">
        <f aca="false">IF(V51=$B$8,V69,V69*$B$36)*V53</f>
        <v>0</v>
      </c>
      <c r="W70" s="24" t="n">
        <f aca="false">IF(W51=$B$8,W69,W69*$B$36)*W53</f>
        <v>0</v>
      </c>
    </row>
    <row r="71" customFormat="false" ht="15" hidden="false" customHeight="false" outlineLevel="0" collapsed="false">
      <c r="A71" s="29" t="s">
        <v>301</v>
      </c>
      <c r="C71" s="24" t="n">
        <v>0</v>
      </c>
      <c r="D71" s="24" t="n">
        <f aca="false">D69-D70</f>
        <v>3862500</v>
      </c>
      <c r="E71" s="24" t="n">
        <f aca="false">E69-E70</f>
        <v>2896875</v>
      </c>
      <c r="F71" s="24" t="n">
        <f aca="false">F69-F70</f>
        <v>2172656.25</v>
      </c>
      <c r="G71" s="24" t="n">
        <f aca="false">G69-G70</f>
        <v>1629492.1875</v>
      </c>
      <c r="H71" s="24" t="n">
        <f aca="false">H69-H70</f>
        <v>1222119.140625</v>
      </c>
      <c r="I71" s="24" t="n">
        <f aca="false">I69-I70</f>
        <v>916589.35546875</v>
      </c>
      <c r="J71" s="24" t="n">
        <f aca="false">J69-J70</f>
        <v>687442.016601563</v>
      </c>
      <c r="K71" s="24" t="n">
        <f aca="false">K69-K70</f>
        <v>515581.512451172</v>
      </c>
      <c r="L71" s="24" t="n">
        <f aca="false">L69-L70</f>
        <v>386686.134338379</v>
      </c>
      <c r="M71" s="24" t="n">
        <f aca="false">M69-M70</f>
        <v>290014.600753784</v>
      </c>
      <c r="N71" s="24" t="n">
        <f aca="false">N69-N70</f>
        <v>217510.950565338</v>
      </c>
      <c r="O71" s="24" t="n">
        <f aca="false">O69-O70</f>
        <v>163133.212924004</v>
      </c>
      <c r="P71" s="24" t="n">
        <f aca="false">P69-P70</f>
        <v>122349.909693003</v>
      </c>
      <c r="Q71" s="24" t="n">
        <f aca="false">Q69-Q70</f>
        <v>91762.432269752</v>
      </c>
      <c r="R71" s="24" t="n">
        <f aca="false">R69-R70</f>
        <v>0</v>
      </c>
      <c r="S71" s="24" t="n">
        <f aca="false">S69-S70</f>
        <v>0</v>
      </c>
      <c r="T71" s="24" t="n">
        <f aca="false">T69-T70</f>
        <v>0</v>
      </c>
      <c r="U71" s="24" t="n">
        <f aca="false">U69-U70</f>
        <v>0</v>
      </c>
      <c r="V71" s="24" t="n">
        <f aca="false">V69-V70</f>
        <v>0</v>
      </c>
      <c r="W71" s="24" t="n">
        <f aca="false">W69-W70</f>
        <v>0</v>
      </c>
    </row>
    <row r="72" customFormat="false" ht="15" hidden="false" customHeight="false" outlineLevel="0" collapsed="false">
      <c r="A72" s="29" t="s">
        <v>302</v>
      </c>
      <c r="C72" s="24" t="n">
        <v>0</v>
      </c>
      <c r="D72" s="24" t="n">
        <f aca="false">D64-D70</f>
        <v>531.997140092077</v>
      </c>
      <c r="E72" s="24" t="n">
        <f aca="false">E64-E70</f>
        <v>312346.977441993</v>
      </c>
      <c r="F72" s="24" t="n">
        <f aca="false">F64-F70</f>
        <v>544469.968383265</v>
      </c>
      <c r="G72" s="24" t="n">
        <f aca="false">G64-G70</f>
        <v>717000.472840466</v>
      </c>
      <c r="H72" s="24" t="n">
        <f aca="false">H64-H70</f>
        <v>845009.325664375</v>
      </c>
      <c r="I72" s="24" t="n">
        <f aca="false">I64-I70</f>
        <v>939795.999298826</v>
      </c>
      <c r="J72" s="24" t="n">
        <f aca="false">J64-J70</f>
        <v>1009831.57892865</v>
      </c>
      <c r="K72" s="24" t="n">
        <f aca="false">K64-K70</f>
        <v>1061465.98990227</v>
      </c>
      <c r="L72" s="24" t="n">
        <f aca="false">L64-L70</f>
        <v>1099458.41448422</v>
      </c>
      <c r="M72" s="24" t="n">
        <f aca="false">M64-M70</f>
        <v>1127375.10072502</v>
      </c>
      <c r="N72" s="24" t="n">
        <f aca="false">N64-N70</f>
        <v>1147887.71553544</v>
      </c>
      <c r="O72" s="24" t="n">
        <f aca="false">O64-O70</f>
        <v>1162997.10602674</v>
      </c>
      <c r="P72" s="24" t="n">
        <f aca="false">P64-P70</f>
        <v>1174201.11715954</v>
      </c>
      <c r="Q72" s="24" t="n">
        <f aca="false">Q64-Q70</f>
        <v>1182620.45172989</v>
      </c>
      <c r="R72" s="24" t="n">
        <f aca="false">R64-R70</f>
        <v>1120271.23800858</v>
      </c>
      <c r="S72" s="24" t="n">
        <f aca="false">S64-S70</f>
        <v>0</v>
      </c>
      <c r="T72" s="24" t="n">
        <f aca="false">T64-T70</f>
        <v>0</v>
      </c>
      <c r="U72" s="24" t="n">
        <f aca="false">U64-U70</f>
        <v>0</v>
      </c>
      <c r="V72" s="24" t="n">
        <f aca="false">V64-V70</f>
        <v>0</v>
      </c>
      <c r="W72" s="24" t="n">
        <f aca="false">W64-W70</f>
        <v>0</v>
      </c>
    </row>
    <row r="73" customFormat="false" ht="15" hidden="false" customHeight="false" outlineLevel="0" collapsed="false">
      <c r="A73" s="29" t="s">
        <v>303</v>
      </c>
      <c r="C73" s="24" t="n">
        <v>0</v>
      </c>
      <c r="D73" s="24" t="n">
        <f aca="false">C75</f>
        <v>0</v>
      </c>
      <c r="E73" s="24" t="n">
        <f aca="false">D75</f>
        <v>0</v>
      </c>
      <c r="F73" s="24" t="n">
        <f aca="false">E75</f>
        <v>0</v>
      </c>
      <c r="G73" s="24" t="n">
        <f aca="false">F75</f>
        <v>0</v>
      </c>
      <c r="H73" s="24" t="n">
        <f aca="false">G75</f>
        <v>0</v>
      </c>
      <c r="I73" s="24" t="n">
        <f aca="false">H75</f>
        <v>0</v>
      </c>
      <c r="J73" s="24" t="n">
        <f aca="false">I75</f>
        <v>0</v>
      </c>
      <c r="K73" s="24" t="n">
        <f aca="false">J75</f>
        <v>0</v>
      </c>
      <c r="L73" s="24" t="n">
        <f aca="false">K75</f>
        <v>0</v>
      </c>
      <c r="M73" s="24" t="n">
        <f aca="false">L75</f>
        <v>0</v>
      </c>
      <c r="N73" s="24" t="n">
        <f aca="false">M75</f>
        <v>0</v>
      </c>
      <c r="O73" s="24" t="n">
        <f aca="false">N75</f>
        <v>0</v>
      </c>
      <c r="P73" s="24" t="n">
        <f aca="false">O75</f>
        <v>0</v>
      </c>
      <c r="Q73" s="24" t="n">
        <f aca="false">P75</f>
        <v>0</v>
      </c>
      <c r="R73" s="24" t="n">
        <f aca="false">Q75</f>
        <v>0</v>
      </c>
      <c r="S73" s="24" t="n">
        <f aca="false">R75</f>
        <v>0</v>
      </c>
      <c r="T73" s="24" t="n">
        <f aca="false">S75</f>
        <v>0</v>
      </c>
      <c r="U73" s="24" t="n">
        <f aca="false">T75</f>
        <v>0</v>
      </c>
      <c r="V73" s="24" t="n">
        <f aca="false">U75</f>
        <v>0</v>
      </c>
      <c r="W73" s="24" t="n">
        <f aca="false">V75</f>
        <v>0</v>
      </c>
    </row>
    <row r="74" customFormat="false" ht="15" hidden="false" customHeight="false" outlineLevel="0" collapsed="false">
      <c r="A74" s="29" t="s">
        <v>304</v>
      </c>
      <c r="C74" s="24" t="n">
        <v>0</v>
      </c>
      <c r="D74" s="24" t="n">
        <f aca="false">MIN(D73,MAX(D72,0))</f>
        <v>0</v>
      </c>
      <c r="E74" s="24" t="n">
        <f aca="false">MIN(E73,MAX(E72,0))</f>
        <v>0</v>
      </c>
      <c r="F74" s="24" t="n">
        <f aca="false">MIN(F73,MAX(F72,0))</f>
        <v>0</v>
      </c>
      <c r="G74" s="24" t="n">
        <f aca="false">MIN(G73,MAX(G72,0))</f>
        <v>0</v>
      </c>
      <c r="H74" s="24" t="n">
        <f aca="false">MIN(H73,MAX(H72,0))</f>
        <v>0</v>
      </c>
      <c r="I74" s="24" t="n">
        <f aca="false">MIN(I73,MAX(I72,0))</f>
        <v>0</v>
      </c>
      <c r="J74" s="24" t="n">
        <f aca="false">MIN(J73,MAX(J72,0))</f>
        <v>0</v>
      </c>
      <c r="K74" s="24" t="n">
        <f aca="false">MIN(K73,MAX(K72,0))</f>
        <v>0</v>
      </c>
      <c r="L74" s="24" t="n">
        <f aca="false">MIN(L73,MAX(L72,0))</f>
        <v>0</v>
      </c>
      <c r="M74" s="24" t="n">
        <f aca="false">MIN(M73,MAX(M72,0))</f>
        <v>0</v>
      </c>
      <c r="N74" s="24" t="n">
        <f aca="false">MIN(N73,MAX(N72,0))</f>
        <v>0</v>
      </c>
      <c r="O74" s="24" t="n">
        <f aca="false">MIN(O73,MAX(O72,0))</f>
        <v>0</v>
      </c>
      <c r="P74" s="24" t="n">
        <f aca="false">MIN(P73,MAX(P72,0))</f>
        <v>0</v>
      </c>
      <c r="Q74" s="24" t="n">
        <f aca="false">MIN(Q73,MAX(Q72,0))</f>
        <v>0</v>
      </c>
      <c r="R74" s="24" t="n">
        <f aca="false">MIN(R73,MAX(R72,0))</f>
        <v>0</v>
      </c>
      <c r="S74" s="24" t="n">
        <f aca="false">MIN(S73,MAX(S72,0))</f>
        <v>0</v>
      </c>
      <c r="T74" s="24" t="n">
        <f aca="false">MIN(T73,MAX(T72,0))</f>
        <v>0</v>
      </c>
      <c r="U74" s="24" t="n">
        <f aca="false">MIN(U73,MAX(U72,0))</f>
        <v>0</v>
      </c>
      <c r="V74" s="24" t="n">
        <f aca="false">MIN(V73,MAX(V72,0))</f>
        <v>0</v>
      </c>
      <c r="W74" s="24" t="n">
        <f aca="false">MIN(W73,MAX(W72,0))</f>
        <v>0</v>
      </c>
    </row>
    <row r="75" customFormat="false" ht="15" hidden="false" customHeight="false" outlineLevel="0" collapsed="false">
      <c r="A75" s="29" t="s">
        <v>305</v>
      </c>
      <c r="C75" s="24" t="n">
        <v>0</v>
      </c>
      <c r="D75" s="24" t="n">
        <f aca="false">D73-D74+MAX(-D72,0)</f>
        <v>0</v>
      </c>
      <c r="E75" s="24" t="n">
        <f aca="false">E73-E74+MAX(-E72,0)</f>
        <v>0</v>
      </c>
      <c r="F75" s="24" t="n">
        <f aca="false">F73-F74+MAX(-F72,0)</f>
        <v>0</v>
      </c>
      <c r="G75" s="24" t="n">
        <f aca="false">G73-G74+MAX(-G72,0)</f>
        <v>0</v>
      </c>
      <c r="H75" s="24" t="n">
        <f aca="false">H73-H74+MAX(-H72,0)</f>
        <v>0</v>
      </c>
      <c r="I75" s="24" t="n">
        <f aca="false">I73-I74+MAX(-I72,0)</f>
        <v>0</v>
      </c>
      <c r="J75" s="24" t="n">
        <f aca="false">J73-J74+MAX(-J72,0)</f>
        <v>0</v>
      </c>
      <c r="K75" s="24" t="n">
        <f aca="false">K73-K74+MAX(-K72,0)</f>
        <v>0</v>
      </c>
      <c r="L75" s="24" t="n">
        <f aca="false">L73-L74+MAX(-L72,0)</f>
        <v>0</v>
      </c>
      <c r="M75" s="24" t="n">
        <f aca="false">M73-M74+MAX(-M72,0)</f>
        <v>0</v>
      </c>
      <c r="N75" s="24" t="n">
        <f aca="false">N73-N74+MAX(-N72,0)</f>
        <v>0</v>
      </c>
      <c r="O75" s="24" t="n">
        <f aca="false">O73-O74+MAX(-O72,0)</f>
        <v>0</v>
      </c>
      <c r="P75" s="24" t="n">
        <f aca="false">P73-P74+MAX(-P72,0)</f>
        <v>0</v>
      </c>
      <c r="Q75" s="24" t="n">
        <f aca="false">Q73-Q74+MAX(-Q72,0)</f>
        <v>0</v>
      </c>
      <c r="R75" s="24" t="n">
        <f aca="false">R73-R74+MAX(-R72,0)</f>
        <v>0</v>
      </c>
      <c r="S75" s="24" t="n">
        <f aca="false">S73-S74+MAX(-S72,0)</f>
        <v>0</v>
      </c>
      <c r="T75" s="24" t="n">
        <f aca="false">T73-T74+MAX(-T72,0)</f>
        <v>0</v>
      </c>
      <c r="U75" s="24" t="n">
        <f aca="false">U73-U74+MAX(-U72,0)</f>
        <v>0</v>
      </c>
      <c r="V75" s="24" t="n">
        <f aca="false">V73-V74+MAX(-V72,0)</f>
        <v>0</v>
      </c>
      <c r="W75" s="24" t="n">
        <f aca="false">W73-W74+MAX(-W72,0)</f>
        <v>0</v>
      </c>
    </row>
    <row r="76" customFormat="false" ht="15" hidden="false" customHeight="false" outlineLevel="0" collapsed="false">
      <c r="A76" s="29" t="s">
        <v>167</v>
      </c>
      <c r="C76" s="24" t="n">
        <v>0</v>
      </c>
      <c r="D76" s="24" t="n">
        <f aca="false">-MAX(D72-D74,0)*$B$35</f>
        <v>-117.039370820257</v>
      </c>
      <c r="E76" s="24" t="n">
        <f aca="false">-MAX(E72-E74,0)*$B$35</f>
        <v>-68716.3350372385</v>
      </c>
      <c r="F76" s="24" t="n">
        <f aca="false">-MAX(F72-F74,0)*$B$35</f>
        <v>-119783.393044318</v>
      </c>
      <c r="G76" s="24" t="n">
        <f aca="false">-MAX(G72-G74,0)*$B$35</f>
        <v>-157740.104024902</v>
      </c>
      <c r="H76" s="24" t="n">
        <f aca="false">-MAX(H72-H74,0)*$B$35</f>
        <v>-185902.051646163</v>
      </c>
      <c r="I76" s="24" t="n">
        <f aca="false">-MAX(I72-I74,0)*$B$35</f>
        <v>-206755.119845742</v>
      </c>
      <c r="J76" s="24" t="n">
        <f aca="false">-MAX(J72-J74,0)*$B$35</f>
        <v>-222162.947364302</v>
      </c>
      <c r="K76" s="24" t="n">
        <f aca="false">-MAX(K72-K74,0)*$B$35</f>
        <v>-233522.5177785</v>
      </c>
      <c r="L76" s="24" t="n">
        <f aca="false">-MAX(L72-L74,0)*$B$35</f>
        <v>-241880.851186529</v>
      </c>
      <c r="M76" s="24" t="n">
        <f aca="false">-MAX(M72-M74,0)*$B$35</f>
        <v>-248022.522159504</v>
      </c>
      <c r="N76" s="24" t="n">
        <f aca="false">-MAX(N72-N74,0)*$B$35</f>
        <v>-252535.297417796</v>
      </c>
      <c r="O76" s="24" t="n">
        <f aca="false">-MAX(O72-O74,0)*$B$35</f>
        <v>-255859.363325883</v>
      </c>
      <c r="P76" s="24" t="n">
        <f aca="false">-MAX(P72-P74,0)*$B$35</f>
        <v>-258324.245775098</v>
      </c>
      <c r="Q76" s="24" t="n">
        <f aca="false">-MAX(Q72-Q74,0)*$B$35</f>
        <v>-260176.499380575</v>
      </c>
      <c r="R76" s="24" t="n">
        <f aca="false">-MAX(R72-R74,0)*$B$35</f>
        <v>-246459.672361887</v>
      </c>
      <c r="S76" s="24" t="n">
        <f aca="false">-MAX(S72-S74,0)*$B$35</f>
        <v>-0</v>
      </c>
      <c r="T76" s="24" t="n">
        <f aca="false">-MAX(T72-T74,0)*$B$35</f>
        <v>-0</v>
      </c>
      <c r="U76" s="24" t="n">
        <f aca="false">-MAX(U72-U74,0)*$B$35</f>
        <v>-0</v>
      </c>
      <c r="V76" s="24" t="n">
        <f aca="false">-MAX(V72-V74,0)*$B$35</f>
        <v>-0</v>
      </c>
      <c r="W76" s="24" t="n">
        <f aca="false">-MAX(W72-W74,0)*$B$35</f>
        <v>-0</v>
      </c>
    </row>
    <row r="77" customFormat="false" ht="15" hidden="false" customHeight="false" outlineLevel="0" collapsed="false">
      <c r="A77" s="9" t="s">
        <v>306</v>
      </c>
      <c r="C77" s="31" t="n">
        <f aca="false">C66+C76</f>
        <v>-5150000</v>
      </c>
      <c r="D77" s="31" t="n">
        <f aca="false">D66+D76</f>
        <v>1287914.95776927</v>
      </c>
      <c r="E77" s="31" t="n">
        <f aca="false">E66+E76</f>
        <v>1209255.64240475</v>
      </c>
      <c r="F77" s="31" t="n">
        <f aca="false">F66+F76</f>
        <v>1148905.32533895</v>
      </c>
      <c r="G77" s="31" t="n">
        <f aca="false">G66+G76</f>
        <v>1102424.43131556</v>
      </c>
      <c r="H77" s="31" t="n">
        <f aca="false">H66+H76</f>
        <v>1066480.32089321</v>
      </c>
      <c r="I77" s="31" t="n">
        <f aca="false">I66+I76</f>
        <v>1038570.66460933</v>
      </c>
      <c r="J77" s="31" t="n">
        <f aca="false">J66+J76</f>
        <v>1016815.97043153</v>
      </c>
      <c r="K77" s="31" t="n">
        <f aca="false">K66+K76</f>
        <v>999803.976274162</v>
      </c>
      <c r="L77" s="31" t="n">
        <f aca="false">L66+L76</f>
        <v>986472.941410487</v>
      </c>
      <c r="M77" s="31" t="n">
        <f aca="false">M66+M76</f>
        <v>976024.112150109</v>
      </c>
      <c r="N77" s="31" t="n">
        <f aca="false">N66+N76</f>
        <v>967856.068306087</v>
      </c>
      <c r="O77" s="31" t="n">
        <f aca="false">O66+O76</f>
        <v>961515.480342193</v>
      </c>
      <c r="P77" s="31" t="n">
        <f aca="false">P66+P76</f>
        <v>956660.174615439</v>
      </c>
      <c r="Q77" s="31" t="n">
        <f aca="false">Q66+Q76</f>
        <v>953031.429772562</v>
      </c>
      <c r="R77" s="31" t="n">
        <f aca="false">R66+R76</f>
        <v>965573.997916441</v>
      </c>
      <c r="S77" s="31" t="n">
        <f aca="false">S66+S76</f>
        <v>0</v>
      </c>
      <c r="T77" s="31" t="n">
        <f aca="false">T66+T76</f>
        <v>0</v>
      </c>
      <c r="U77" s="31" t="n">
        <f aca="false">U66+U76</f>
        <v>0</v>
      </c>
      <c r="V77" s="31" t="n">
        <f aca="false">V66+V76</f>
        <v>0</v>
      </c>
      <c r="W77" s="31" t="n">
        <f aca="false">W66+W76</f>
        <v>0</v>
      </c>
    </row>
    <row r="78" customFormat="false" ht="15" hidden="false" customHeight="false" outlineLevel="0" collapsed="false">
      <c r="A78" s="29" t="s">
        <v>307</v>
      </c>
      <c r="C78" s="24" t="n">
        <f aca="false">C77</f>
        <v>-5150000</v>
      </c>
      <c r="D78" s="24" t="n">
        <f aca="false">C78+D77</f>
        <v>-3862085.04223073</v>
      </c>
      <c r="E78" s="24" t="n">
        <f aca="false">D78+E77</f>
        <v>-2652829.39982597</v>
      </c>
      <c r="F78" s="24" t="n">
        <f aca="false">E78+F77</f>
        <v>-1503924.07448703</v>
      </c>
      <c r="G78" s="24" t="n">
        <f aca="false">F78+G77</f>
        <v>-401499.643171464</v>
      </c>
      <c r="H78" s="24" t="n">
        <f aca="false">G78+H77</f>
        <v>664980.677721749</v>
      </c>
      <c r="I78" s="24" t="n">
        <f aca="false">H78+I77</f>
        <v>1703551.34233108</v>
      </c>
      <c r="J78" s="24" t="n">
        <f aca="false">I78+J77</f>
        <v>2720367.31276262</v>
      </c>
      <c r="K78" s="24" t="n">
        <f aca="false">J78+K77</f>
        <v>3720171.28903678</v>
      </c>
      <c r="L78" s="24" t="n">
        <f aca="false">K78+L77</f>
        <v>4706644.23044727</v>
      </c>
      <c r="M78" s="24" t="n">
        <f aca="false">L78+M77</f>
        <v>5682668.34259738</v>
      </c>
      <c r="N78" s="24" t="n">
        <f aca="false">M78+N77</f>
        <v>6650524.41090346</v>
      </c>
      <c r="O78" s="24" t="n">
        <f aca="false">N78+O77</f>
        <v>7612039.89124565</v>
      </c>
      <c r="P78" s="24" t="n">
        <f aca="false">O78+P77</f>
        <v>8568700.06586109</v>
      </c>
      <c r="Q78" s="24" t="n">
        <f aca="false">P78+Q77</f>
        <v>9521731.49563365</v>
      </c>
      <c r="R78" s="24" t="n">
        <f aca="false">Q78+R77</f>
        <v>10487305.4935501</v>
      </c>
      <c r="S78" s="24" t="n">
        <f aca="false">R78+S77</f>
        <v>10487305.4935501</v>
      </c>
      <c r="T78" s="24" t="n">
        <f aca="false">S78+T77</f>
        <v>10487305.4935501</v>
      </c>
      <c r="U78" s="24" t="n">
        <f aca="false">T78+U77</f>
        <v>10487305.4935501</v>
      </c>
      <c r="V78" s="24" t="n">
        <f aca="false">U78+V77</f>
        <v>10487305.4935501</v>
      </c>
      <c r="W78" s="24" t="n">
        <f aca="false">V78+W77</f>
        <v>10487305.4935501</v>
      </c>
    </row>
    <row r="79" customFormat="false" ht="15" hidden="false" customHeight="false" outlineLevel="0" collapsed="false">
      <c r="A79" s="29" t="s">
        <v>308</v>
      </c>
      <c r="C79" s="30"/>
      <c r="D79" s="30" t="str">
        <f aca="false">IF(AND(D78&gt;=0,C78&lt;0),D51,"")</f>
        <v/>
      </c>
      <c r="E79" s="30" t="str">
        <f aca="false">IF(AND(E78&gt;=0,D78&lt;0),E51,"")</f>
        <v/>
      </c>
      <c r="F79" s="30" t="str">
        <f aca="false">IF(AND(F78&gt;=0,E78&lt;0),F51,"")</f>
        <v/>
      </c>
      <c r="G79" s="30" t="str">
        <f aca="false">IF(AND(G78&gt;=0,F78&lt;0),G51,"")</f>
        <v/>
      </c>
      <c r="H79" s="30" t="n">
        <f aca="false">IF(AND(H78&gt;=0,G78&lt;0),H51,"")</f>
        <v>5</v>
      </c>
      <c r="I79" s="30" t="str">
        <f aca="false">IF(AND(I78&gt;=0,H78&lt;0),I51,"")</f>
        <v/>
      </c>
      <c r="J79" s="30" t="str">
        <f aca="false">IF(AND(J78&gt;=0,I78&lt;0),J51,"")</f>
        <v/>
      </c>
      <c r="K79" s="30" t="str">
        <f aca="false">IF(AND(K78&gt;=0,J78&lt;0),K51,"")</f>
        <v/>
      </c>
      <c r="L79" s="30" t="str">
        <f aca="false">IF(AND(L78&gt;=0,K78&lt;0),L51,"")</f>
        <v/>
      </c>
      <c r="M79" s="30" t="str">
        <f aca="false">IF(AND(M78&gt;=0,L78&lt;0),M51,"")</f>
        <v/>
      </c>
      <c r="N79" s="30" t="str">
        <f aca="false">IF(AND(N78&gt;=0,M78&lt;0),N51,"")</f>
        <v/>
      </c>
      <c r="O79" s="30" t="str">
        <f aca="false">IF(AND(O78&gt;=0,N78&lt;0),O51,"")</f>
        <v/>
      </c>
      <c r="P79" s="30" t="str">
        <f aca="false">IF(AND(P78&gt;=0,O78&lt;0),P51,"")</f>
        <v/>
      </c>
      <c r="Q79" s="30" t="str">
        <f aca="false">IF(AND(Q78&gt;=0,P78&lt;0),Q51,"")</f>
        <v/>
      </c>
      <c r="R79" s="30" t="str">
        <f aca="false">IF(AND(R78&gt;=0,Q78&lt;0),R51,"")</f>
        <v/>
      </c>
      <c r="S79" s="30" t="str">
        <f aca="false">IF(AND(S78&gt;=0,R78&lt;0),S51,"")</f>
        <v/>
      </c>
      <c r="T79" s="30" t="str">
        <f aca="false">IF(AND(T78&gt;=0,S78&lt;0),T51,"")</f>
        <v/>
      </c>
      <c r="U79" s="30" t="str">
        <f aca="false">IF(AND(U78&gt;=0,T78&lt;0),U51,"")</f>
        <v/>
      </c>
      <c r="V79" s="30" t="str">
        <f aca="false">IF(AND(V78&gt;=0,U78&lt;0),V51,"")</f>
        <v/>
      </c>
      <c r="W79" s="30" t="str">
        <f aca="false">IF(AND(W78&gt;=0,V78&lt;0),W51,"")</f>
        <v/>
      </c>
    </row>
    <row r="81" customFormat="false" ht="15" hidden="false" customHeight="false" outlineLevel="0" collapsed="false">
      <c r="A81" s="9" t="s">
        <v>2</v>
      </c>
    </row>
    <row r="82" customFormat="false" ht="15" hidden="false" customHeight="false" outlineLevel="0" collapsed="false">
      <c r="A82" s="0" t="s">
        <v>309</v>
      </c>
      <c r="B82" s="32" t="n">
        <f aca="false">IFERROR(IRR(C66:W66),"negativ")</f>
        <v>0.234181773000325</v>
      </c>
    </row>
    <row r="83" customFormat="false" ht="15" hidden="false" customHeight="false" outlineLevel="0" collapsed="false">
      <c r="A83" s="0" t="s">
        <v>310</v>
      </c>
      <c r="B83" s="32" t="n">
        <f aca="false">IFERROR(IRR(C77:W77),"negativ")</f>
        <v>0.203295985382591</v>
      </c>
    </row>
    <row r="84" customFormat="false" ht="15" hidden="false" customHeight="false" outlineLevel="0" collapsed="false">
      <c r="A84" s="0" t="s">
        <v>311</v>
      </c>
      <c r="B84" s="33" t="n">
        <f aca="false">NPV($B$37,D77:W77)+C77</f>
        <v>4038497.43297723</v>
      </c>
    </row>
    <row r="85" customFormat="false" ht="15" hidden="false" customHeight="false" outlineLevel="0" collapsed="false">
      <c r="A85" s="0" t="s">
        <v>17</v>
      </c>
      <c r="B85" s="34" t="n">
        <f aca="false">IF(COUNT(D79:W79)=0,"&gt; levetid",MIN(D79:W79))</f>
        <v>5</v>
      </c>
    </row>
    <row r="86" customFormat="false" ht="15" hidden="false" customHeight="false" outlineLevel="0" collapsed="false">
      <c r="A86" s="0" t="s">
        <v>274</v>
      </c>
      <c r="B86" s="33" t="n">
        <f aca="false">$B$42</f>
        <v>5150000</v>
      </c>
    </row>
    <row r="87" customFormat="false" ht="15" hidden="false" customHeight="false" outlineLevel="0" collapsed="false">
      <c r="A87" s="0" t="s">
        <v>312</v>
      </c>
      <c r="B87" s="33" t="n">
        <f aca="false">$B$43</f>
        <v>257.5</v>
      </c>
    </row>
    <row r="88" customFormat="false" ht="15" hidden="false" customHeight="false" outlineLevel="0" collapsed="false">
      <c r="A88" s="0" t="s">
        <v>313</v>
      </c>
      <c r="B88" s="33" t="n">
        <f aca="false">$B$44</f>
        <v>515000</v>
      </c>
    </row>
    <row r="89" customFormat="false" ht="15" hidden="false" customHeight="false" outlineLevel="0" collapsed="false">
      <c r="A89" s="0" t="s">
        <v>314</v>
      </c>
      <c r="B89" s="33" t="n">
        <f aca="false">D58/$B$5</f>
        <v>172202.515619368</v>
      </c>
    </row>
    <row r="90" customFormat="false" ht="15" hidden="false" customHeight="false" outlineLevel="0" collapsed="false">
      <c r="A90" s="0" t="s">
        <v>315</v>
      </c>
      <c r="B90" s="33" t="n">
        <f aca="false">D64</f>
        <v>1288031.99714009</v>
      </c>
    </row>
    <row r="91" customFormat="false" ht="15" hidden="false" customHeight="false" outlineLevel="0" collapsed="false">
      <c r="A91" s="0" t="s">
        <v>316</v>
      </c>
      <c r="B91" s="32" t="n">
        <f aca="false">IFERROR(D64/D58,0)</f>
        <v>0.74797513410729</v>
      </c>
    </row>
    <row r="92" customFormat="false" ht="15" hidden="false" customHeight="false" outlineLevel="0" collapsed="false">
      <c r="A92" s="0" t="s">
        <v>13</v>
      </c>
      <c r="B92" s="32" t="n">
        <f aca="false">D64/$B$42</f>
        <v>0.250103300415552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319</v>
      </c>
    </row>
    <row r="2" customFormat="false" ht="15" hidden="false" customHeight="false" outlineLevel="0" collapsed="false">
      <c r="A2" s="2" t="s">
        <v>320</v>
      </c>
    </row>
    <row r="4" customFormat="false" ht="15" hidden="false" customHeight="false" outlineLevel="0" collapsed="false">
      <c r="A4" s="9" t="s">
        <v>321</v>
      </c>
      <c r="B4" s="35" t="n">
        <v>0.6</v>
      </c>
      <c r="C4" s="35" t="n">
        <v>0.8</v>
      </c>
      <c r="D4" s="35" t="n">
        <v>0.9</v>
      </c>
      <c r="E4" s="35" t="n">
        <v>1</v>
      </c>
      <c r="F4" s="35" t="n">
        <v>1.1</v>
      </c>
      <c r="G4" s="35" t="n">
        <v>1.2</v>
      </c>
    </row>
    <row r="5" customFormat="false" ht="15" hidden="false" customHeight="false" outlineLevel="0" collapsed="false">
      <c r="A5" s="35" t="n">
        <v>0.7</v>
      </c>
      <c r="B5" s="36" t="n">
        <f aca="false">IFERROR(IRR(B14:V14),"negativ")</f>
        <v>-0.0288226580688013</v>
      </c>
      <c r="C5" s="36" t="n">
        <f aca="false">IFERROR(IRR(B15:V15),"negativ")</f>
        <v>-0.0836200992798583</v>
      </c>
      <c r="D5" s="36" t="n">
        <f aca="false">IFERROR(IRR(B16:V16),"negativ")</f>
        <v>-0.107375525220188</v>
      </c>
      <c r="E5" s="36" t="str">
        <f aca="false">IFERROR(IRR(B17:V17),"negativ")</f>
        <v>negativ</v>
      </c>
      <c r="F5" s="36" t="str">
        <f aca="false">IFERROR(IRR(B18:V18),"negativ")</f>
        <v>negativ</v>
      </c>
      <c r="G5" s="36" t="str">
        <f aca="false">IFERROR(IRR(B19:V19),"negativ")</f>
        <v>negativ</v>
      </c>
    </row>
    <row r="6" customFormat="false" ht="15" hidden="false" customHeight="false" outlineLevel="0" collapsed="false">
      <c r="A6" s="35" t="n">
        <v>0.85</v>
      </c>
      <c r="B6" s="36" t="n">
        <f aca="false">IFERROR(IRR(B20:V20),"negativ")</f>
        <v>0.0406891326325265</v>
      </c>
      <c r="C6" s="36" t="n">
        <f aca="false">IFERROR(IRR(B21:V21),"negativ")</f>
        <v>-0.0144017276938368</v>
      </c>
      <c r="D6" s="36" t="n">
        <f aca="false">IFERROR(IRR(B22:V22),"negativ")</f>
        <v>-0.0360890529091353</v>
      </c>
      <c r="E6" s="36" t="n">
        <f aca="false">IFERROR(IRR(B23:V23),"negativ")</f>
        <v>-0.0554289558527928</v>
      </c>
      <c r="F6" s="36" t="n">
        <f aca="false">IFERROR(IRR(B24:V24),"negativ")</f>
        <v>-0.0731056923052301</v>
      </c>
      <c r="G6" s="36" t="n">
        <f aca="false">IFERROR(IRR(B25:V25),"negativ")</f>
        <v>-0.0896132273853869</v>
      </c>
    </row>
    <row r="7" customFormat="false" ht="15" hidden="false" customHeight="false" outlineLevel="0" collapsed="false">
      <c r="A7" s="35" t="n">
        <v>1</v>
      </c>
      <c r="B7" s="36" t="n">
        <f aca="false">IFERROR(IRR(B26:V26),"negativ")</f>
        <v>0.0954553372956792</v>
      </c>
      <c r="C7" s="36" t="n">
        <f aca="false">IFERROR(IRR(B27:V27),"negativ")</f>
        <v>0.0356922458603209</v>
      </c>
      <c r="D7" s="36" t="n">
        <f aca="false">IFERROR(IRR(B28:V28),"negativ")</f>
        <v>0.0130976209092534</v>
      </c>
      <c r="E7" s="36" t="n">
        <f aca="false">IFERROR(IRR(B29:V29),"negativ")</f>
        <v>-0.0065111184761116</v>
      </c>
      <c r="F7" s="36" t="n">
        <f aca="false">IFERROR(IRR(B30:V30),"negativ")</f>
        <v>-0.0239215902775248</v>
      </c>
      <c r="G7" s="36" t="n">
        <f aca="false">IFERROR(IRR(B31:V31),"negativ")</f>
        <v>-0.039673975224141</v>
      </c>
    </row>
    <row r="8" customFormat="false" ht="15" hidden="false" customHeight="false" outlineLevel="0" collapsed="false">
      <c r="A8" s="35" t="n">
        <v>1.15</v>
      </c>
      <c r="B8" s="36" t="n">
        <f aca="false">IFERROR(IRR(B32:V32),"negativ")</f>
        <v>0.143520064437987</v>
      </c>
      <c r="C8" s="36" t="n">
        <f aca="false">IFERROR(IRR(B33:V33),"negativ")</f>
        <v>0.0776984717544082</v>
      </c>
      <c r="D8" s="36" t="n">
        <f aca="false">IFERROR(IRR(B34:V34),"negativ")</f>
        <v>0.0534406526854462</v>
      </c>
      <c r="E8" s="36" t="n">
        <f aca="false">IFERROR(IRR(B35:V35),"negativ")</f>
        <v>0.0327194235696946</v>
      </c>
      <c r="F8" s="36" t="n">
        <f aca="false">IFERROR(IRR(B36:V36),"negativ")</f>
        <v>0.0146103099833285</v>
      </c>
      <c r="G8" s="36" t="n">
        <f aca="false">IFERROR(IRR(B37:V37),"negativ")</f>
        <v>-0.00151190579828387</v>
      </c>
    </row>
    <row r="9" customFormat="false" ht="15" hidden="false" customHeight="false" outlineLevel="0" collapsed="false">
      <c r="A9" s="35" t="n">
        <v>1.3</v>
      </c>
      <c r="B9" s="36" t="n">
        <f aca="false">IFERROR(IRR(B38:V38),"negativ")</f>
        <v>0.187871809302243</v>
      </c>
      <c r="C9" s="36" t="n">
        <f aca="false">IFERROR(IRR(B39:V39),"negativ")</f>
        <v>0.115263739824818</v>
      </c>
      <c r="D9" s="36" t="n">
        <f aca="false">IFERROR(IRR(B40:V40),"negativ")</f>
        <v>0.0890012241655847</v>
      </c>
      <c r="E9" s="36" t="n">
        <f aca="false">IFERROR(IRR(B41:V41),"negativ")</f>
        <v>0.0668178375229324</v>
      </c>
      <c r="F9" s="36" t="n">
        <f aca="false">IFERROR(IRR(B42:V42),"negativ")</f>
        <v>0.0476403472203205</v>
      </c>
      <c r="G9" s="36" t="n">
        <f aca="false">IFERROR(IRR(B43:V43),"negativ")</f>
        <v>0.0307482944830794</v>
      </c>
    </row>
    <row r="10" customFormat="false" ht="15" hidden="false" customHeight="false" outlineLevel="0" collapsed="false">
      <c r="A10" s="35" t="n">
        <v>1.5</v>
      </c>
      <c r="B10" s="36" t="n">
        <f aca="false">IFERROR(IRR(B44:V44),"negativ")</f>
        <v>0.243627232655722</v>
      </c>
      <c r="C10" s="36" t="n">
        <f aca="false">IFERROR(IRR(B45:V45),"negativ")</f>
        <v>0.16123620014271</v>
      </c>
      <c r="D10" s="36" t="n">
        <f aca="false">IFERROR(IRR(B46:V46),"negativ")</f>
        <v>0.131992515854624</v>
      </c>
      <c r="E10" s="36" t="n">
        <f aca="false">IFERROR(IRR(B47:V47),"negativ")</f>
        <v>0.107566157736738</v>
      </c>
      <c r="F10" s="36" t="n">
        <f aca="false">IFERROR(IRR(B48:V48),"negativ")</f>
        <v>0.0866738763968843</v>
      </c>
      <c r="G10" s="36" t="n">
        <f aca="false">IFERROR(IRR(B49:V49),"negativ")</f>
        <v>0.0684595601076271</v>
      </c>
    </row>
    <row r="13" customFormat="false" ht="15" hidden="false" customHeight="false" outlineLevel="0" collapsed="false">
      <c r="A13" s="2" t="s">
        <v>322</v>
      </c>
    </row>
    <row r="14" customFormat="false" ht="15" hidden="false" customHeight="false" outlineLevel="0" collapsed="false">
      <c r="A14" s="0" t="str">
        <f aca="false">"Indtægt "&amp;TEXT($A$5,"0%")&amp;" / investering "&amp;TEXT(B$4,"0%")</f>
        <v>Indtægt 70% / investering 60%</v>
      </c>
      <c r="B14" s="24" t="n">
        <f aca="false">Base!C65*B$4</f>
        <v>-3750000</v>
      </c>
      <c r="C14" s="24" t="n">
        <f aca="false">$A$5*Base!D58*(1-Base!$B$31)+Base!D59+B$4*Base!D60+Base!D62+Base!D63</f>
        <v>296581.895702765</v>
      </c>
      <c r="D14" s="24" t="n">
        <f aca="false">$A$5*Base!E58*(1-Base!$B$31)+Base!E59+B$4*Base!E60+Base!E62+Base!E63</f>
        <v>282689.49611156</v>
      </c>
      <c r="E14" s="24" t="n">
        <f aca="false">$A$5*Base!F58*(1-Base!$B$31)+Base!F59+B$4*Base!F60+Base!F62+Base!F63</f>
        <v>268951.263003255</v>
      </c>
      <c r="F14" s="24" t="n">
        <f aca="false">$A$5*Base!G58*(1-Base!$B$31)+Base!G59+B$4*Base!G60+Base!G62+Base!G63</f>
        <v>255359.881195145</v>
      </c>
      <c r="G14" s="24" t="n">
        <f aca="false">$A$5*Base!H58*(1-Base!$B$31)+Base!H59+B$4*Base!H60+Base!H62+Base!H63</f>
        <v>241908.179991251</v>
      </c>
      <c r="H14" s="24" t="n">
        <f aca="false">$A$5*Base!I58*(1-Base!$B$31)+Base!I59+B$4*Base!I60+Base!I62+Base!I63</f>
        <v>228589.127385864</v>
      </c>
      <c r="I14" s="24" t="n">
        <f aca="false">$A$5*Base!J58*(1-Base!$B$31)+Base!J59+B$4*Base!J60+Base!J62+Base!J63</f>
        <v>215395.824417018</v>
      </c>
      <c r="J14" s="24" t="n">
        <f aca="false">$A$5*Base!K58*(1-Base!$B$31)+Base!K59+B$4*Base!K60+Base!K62+Base!K63</f>
        <v>202321.499664683</v>
      </c>
      <c r="K14" s="24" t="n">
        <f aca="false">$A$5*Base!L58*(1-Base!$B$31)+Base!L59+B$4*Base!L60+Base!L62+Base!L63</f>
        <v>189359.503888624</v>
      </c>
      <c r="L14" s="24" t="n">
        <f aca="false">$A$5*Base!M58*(1-Base!$B$31)+Base!M59+B$4*Base!M60+Base!M62+Base!M63</f>
        <v>176503.304801011</v>
      </c>
      <c r="M14" s="24" t="n">
        <f aca="false">$A$5*Base!N58*(1-Base!$B$31)+Base!N59+B$4*Base!N60+Base!N62+Base!N63</f>
        <v>163746.481969006</v>
      </c>
      <c r="N14" s="24" t="n">
        <f aca="false">$A$5*Base!O58*(1-Base!$B$31)+Base!O59+B$4*Base!O60+Base!O62+Base!O63</f>
        <v>151082.721842699</v>
      </c>
      <c r="O14" s="24" t="n">
        <f aca="false">$A$5*Base!P58*(1-Base!$B$31)+Base!P59+B$4*Base!P60+Base!P62+Base!P63</f>
        <v>138505.812903875</v>
      </c>
      <c r="P14" s="24" t="n">
        <f aca="false">$A$5*Base!Q58*(1-Base!$B$31)+Base!Q59+B$4*Base!Q60+Base!Q62+Base!Q63</f>
        <v>126009.640931242</v>
      </c>
      <c r="Q14" s="24" t="n">
        <f aca="false">$A$5*Base!R58*(1-Base!$B$31)+Base!R59+B$4*Base!R60+Base!R62+Base!R63</f>
        <v>113588.184377862</v>
      </c>
      <c r="R14" s="24" t="n">
        <f aca="false">$A$5*Base!S58*(1-Base!$B$31)+Base!S59+B$4*Base!S60+Base!S62+Base!S63</f>
        <v>0</v>
      </c>
      <c r="S14" s="24" t="n">
        <f aca="false">$A$5*Base!T58*(1-Base!$B$31)+Base!T59+B$4*Base!T60+Base!T62+Base!T63</f>
        <v>0</v>
      </c>
      <c r="T14" s="24" t="n">
        <f aca="false">$A$5*Base!U58*(1-Base!$B$31)+Base!U59+B$4*Base!U60+Base!U62+Base!U63</f>
        <v>0</v>
      </c>
      <c r="U14" s="24" t="n">
        <f aca="false">$A$5*Base!V58*(1-Base!$B$31)+Base!V59+B$4*Base!V60+Base!V62+Base!V63</f>
        <v>0</v>
      </c>
      <c r="V14" s="24" t="n">
        <f aca="false">$A$5*Base!W58*(1-Base!$B$31)+Base!W59+B$4*Base!W60+Base!W62+Base!W63</f>
        <v>0</v>
      </c>
    </row>
    <row r="15" customFormat="false" ht="15" hidden="false" customHeight="false" outlineLevel="0" collapsed="false">
      <c r="A15" s="0" t="str">
        <f aca="false">"Indtægt "&amp;TEXT($A$5,"0%")&amp;" / investering "&amp;TEXT(C$4,"0%")</f>
        <v>Indtægt 70% / investering 80%</v>
      </c>
      <c r="B15" s="24" t="n">
        <f aca="false">Base!C65*C$4</f>
        <v>-5000000</v>
      </c>
      <c r="C15" s="24" t="n">
        <f aca="false">$A$5*Base!D58*(1-Base!$B$31)+Base!D59+C$4*Base!D60+Base!D62+Base!D63</f>
        <v>272860.775702765</v>
      </c>
      <c r="D15" s="24" t="n">
        <f aca="false">$A$5*Base!E58*(1-Base!$B$31)+Base!E59+C$4*Base!E60+Base!E62+Base!E63</f>
        <v>258493.95371156</v>
      </c>
      <c r="E15" s="24" t="n">
        <f aca="false">$A$5*Base!F58*(1-Base!$B$31)+Base!F59+C$4*Base!F60+Base!F62+Base!F63</f>
        <v>244271.809755255</v>
      </c>
      <c r="F15" s="24" t="n">
        <f aca="false">$A$5*Base!G58*(1-Base!$B$31)+Base!G59+C$4*Base!G60+Base!G62+Base!G63</f>
        <v>230186.838882185</v>
      </c>
      <c r="G15" s="24" t="n">
        <f aca="false">$A$5*Base!H58*(1-Base!$B$31)+Base!H59+C$4*Base!H60+Base!H62+Base!H63</f>
        <v>216231.676832031</v>
      </c>
      <c r="H15" s="24" t="n">
        <f aca="false">$A$5*Base!I58*(1-Base!$B$31)+Base!I59+C$4*Base!I60+Base!I62+Base!I63</f>
        <v>202399.09416346</v>
      </c>
      <c r="I15" s="24" t="n">
        <f aca="false">$A$5*Base!J58*(1-Base!$B$31)+Base!J59+C$4*Base!J60+Base!J62+Base!J63</f>
        <v>188681.990530166</v>
      </c>
      <c r="J15" s="24" t="n">
        <f aca="false">$A$5*Base!K58*(1-Base!$B$31)+Base!K59+C$4*Base!K60+Base!K62+Base!K63</f>
        <v>175073.389100094</v>
      </c>
      <c r="K15" s="24" t="n">
        <f aca="false">$A$5*Base!L58*(1-Base!$B$31)+Base!L59+C$4*Base!L60+Base!L62+Base!L63</f>
        <v>161566.431112744</v>
      </c>
      <c r="L15" s="24" t="n">
        <f aca="false">$A$5*Base!M58*(1-Base!$B$31)+Base!M59+C$4*Base!M60+Base!M62+Base!M63</f>
        <v>148154.370569613</v>
      </c>
      <c r="M15" s="24" t="n">
        <f aca="false">$A$5*Base!N58*(1-Base!$B$31)+Base!N59+C$4*Base!N60+Base!N62+Base!N63</f>
        <v>134830.56905298</v>
      </c>
      <c r="N15" s="24" t="n">
        <f aca="false">$A$5*Base!O58*(1-Base!$B$31)+Base!O59+C$4*Base!O60+Base!O62+Base!O63</f>
        <v>121588.490668352</v>
      </c>
      <c r="O15" s="24" t="n">
        <f aca="false">$A$5*Base!P58*(1-Base!$B$31)+Base!P59+C$4*Base!P60+Base!P62+Base!P63</f>
        <v>108421.697106041</v>
      </c>
      <c r="P15" s="24" t="n">
        <f aca="false">$A$5*Base!Q58*(1-Base!$B$31)+Base!Q59+C$4*Base!Q60+Base!Q62+Base!Q63</f>
        <v>95323.8428174518</v>
      </c>
      <c r="Q15" s="24" t="n">
        <f aca="false">$A$5*Base!R58*(1-Base!$B$31)+Base!R59+C$4*Base!R60+Base!R62+Base!R63</f>
        <v>82288.6703017958</v>
      </c>
      <c r="R15" s="24" t="n">
        <f aca="false">$A$5*Base!S58*(1-Base!$B$31)+Base!S59+C$4*Base!S60+Base!S62+Base!S63</f>
        <v>0</v>
      </c>
      <c r="S15" s="24" t="n">
        <f aca="false">$A$5*Base!T58*(1-Base!$B$31)+Base!T59+C$4*Base!T60+Base!T62+Base!T63</f>
        <v>0</v>
      </c>
      <c r="T15" s="24" t="n">
        <f aca="false">$A$5*Base!U58*(1-Base!$B$31)+Base!U59+C$4*Base!U60+Base!U62+Base!U63</f>
        <v>0</v>
      </c>
      <c r="U15" s="24" t="n">
        <f aca="false">$A$5*Base!V58*(1-Base!$B$31)+Base!V59+C$4*Base!V60+Base!V62+Base!V63</f>
        <v>0</v>
      </c>
      <c r="V15" s="24" t="n">
        <f aca="false">$A$5*Base!W58*(1-Base!$B$31)+Base!W59+C$4*Base!W60+Base!W62+Base!W63</f>
        <v>0</v>
      </c>
    </row>
    <row r="16" customFormat="false" ht="15" hidden="false" customHeight="false" outlineLevel="0" collapsed="false">
      <c r="A16" s="0" t="str">
        <f aca="false">"Indtægt "&amp;TEXT($A$5,"0%")&amp;" / investering "&amp;TEXT(D$4,"0%")</f>
        <v>Indtægt 70% / investering 90%</v>
      </c>
      <c r="B16" s="24" t="n">
        <f aca="false">Base!C65*D$4</f>
        <v>-5625000</v>
      </c>
      <c r="C16" s="24" t="n">
        <f aca="false">$A$5*Base!D58*(1-Base!$B$31)+Base!D59+D$4*Base!D60+Base!D62+Base!D63</f>
        <v>261000.215702765</v>
      </c>
      <c r="D16" s="24" t="n">
        <f aca="false">$A$5*Base!E58*(1-Base!$B$31)+Base!E59+D$4*Base!E60+Base!E62+Base!E63</f>
        <v>246396.18251156</v>
      </c>
      <c r="E16" s="24" t="n">
        <f aca="false">$A$5*Base!F58*(1-Base!$B$31)+Base!F59+D$4*Base!F60+Base!F62+Base!F63</f>
        <v>231932.083131255</v>
      </c>
      <c r="F16" s="24" t="n">
        <f aca="false">$A$5*Base!G58*(1-Base!$B$31)+Base!G59+D$4*Base!G60+Base!G62+Base!G63</f>
        <v>217600.317725705</v>
      </c>
      <c r="G16" s="24" t="n">
        <f aca="false">$A$5*Base!H58*(1-Base!$B$31)+Base!H59+D$4*Base!H60+Base!H62+Base!H63</f>
        <v>203393.425252422</v>
      </c>
      <c r="H16" s="24" t="n">
        <f aca="false">$A$5*Base!I58*(1-Base!$B$31)+Base!I59+D$4*Base!I60+Base!I62+Base!I63</f>
        <v>189304.077552258</v>
      </c>
      <c r="I16" s="24" t="n">
        <f aca="false">$A$5*Base!J58*(1-Base!$B$31)+Base!J59+D$4*Base!J60+Base!J62+Base!J63</f>
        <v>175325.07358674</v>
      </c>
      <c r="J16" s="24" t="n">
        <f aca="false">$A$5*Base!K58*(1-Base!$B$31)+Base!K59+D$4*Base!K60+Base!K62+Base!K63</f>
        <v>161449.3338178</v>
      </c>
      <c r="K16" s="24" t="n">
        <f aca="false">$A$5*Base!L58*(1-Base!$B$31)+Base!L59+D$4*Base!L60+Base!L62+Base!L63</f>
        <v>147669.894724804</v>
      </c>
      <c r="L16" s="24" t="n">
        <f aca="false">$A$5*Base!M58*(1-Base!$B$31)+Base!M59+D$4*Base!M60+Base!M62+Base!M63</f>
        <v>133979.903453914</v>
      </c>
      <c r="M16" s="24" t="n">
        <f aca="false">$A$5*Base!N58*(1-Base!$B$31)+Base!N59+D$4*Base!N60+Base!N62+Base!N63</f>
        <v>120372.612594967</v>
      </c>
      <c r="N16" s="24" t="n">
        <f aca="false">$A$5*Base!O58*(1-Base!$B$31)+Base!O59+D$4*Base!O60+Base!O62+Base!O63</f>
        <v>106841.375081179</v>
      </c>
      <c r="O16" s="24" t="n">
        <f aca="false">$A$5*Base!P58*(1-Base!$B$31)+Base!P59+D$4*Base!P60+Base!P62+Base!P63</f>
        <v>93379.6392071245</v>
      </c>
      <c r="P16" s="24" t="n">
        <f aca="false">$A$5*Base!Q58*(1-Base!$B$31)+Base!Q59+D$4*Base!Q60+Base!Q62+Base!Q63</f>
        <v>79980.9437605567</v>
      </c>
      <c r="Q16" s="24" t="n">
        <f aca="false">$A$5*Base!R58*(1-Base!$B$31)+Base!R59+D$4*Base!R60+Base!R62+Base!R63</f>
        <v>66638.9132637628</v>
      </c>
      <c r="R16" s="24" t="n">
        <f aca="false">$A$5*Base!S58*(1-Base!$B$31)+Base!S59+D$4*Base!S60+Base!S62+Base!S63</f>
        <v>0</v>
      </c>
      <c r="S16" s="24" t="n">
        <f aca="false">$A$5*Base!T58*(1-Base!$B$31)+Base!T59+D$4*Base!T60+Base!T62+Base!T63</f>
        <v>0</v>
      </c>
      <c r="T16" s="24" t="n">
        <f aca="false">$A$5*Base!U58*(1-Base!$B$31)+Base!U59+D$4*Base!U60+Base!U62+Base!U63</f>
        <v>0</v>
      </c>
      <c r="U16" s="24" t="n">
        <f aca="false">$A$5*Base!V58*(1-Base!$B$31)+Base!V59+D$4*Base!V60+Base!V62+Base!V63</f>
        <v>0</v>
      </c>
      <c r="V16" s="24" t="n">
        <f aca="false">$A$5*Base!W58*(1-Base!$B$31)+Base!W59+D$4*Base!W60+Base!W62+Base!W63</f>
        <v>0</v>
      </c>
    </row>
    <row r="17" customFormat="false" ht="15" hidden="false" customHeight="false" outlineLevel="0" collapsed="false">
      <c r="A17" s="0" t="str">
        <f aca="false">"Indtægt "&amp;TEXT($A$5,"0%")&amp;" / investering "&amp;TEXT(E$4,"0%")</f>
        <v>Indtægt 70% / investering 100%</v>
      </c>
      <c r="B17" s="24" t="n">
        <f aca="false">Base!C65*E$4</f>
        <v>-6250000</v>
      </c>
      <c r="C17" s="24" t="n">
        <f aca="false">$A$5*Base!D58*(1-Base!$B$31)+Base!D59+E$4*Base!D60+Base!D62+Base!D63</f>
        <v>249139.655702765</v>
      </c>
      <c r="D17" s="24" t="n">
        <f aca="false">$A$5*Base!E58*(1-Base!$B$31)+Base!E59+E$4*Base!E60+Base!E62+Base!E63</f>
        <v>234298.41131156</v>
      </c>
      <c r="E17" s="24" t="n">
        <f aca="false">$A$5*Base!F58*(1-Base!$B$31)+Base!F59+E$4*Base!F60+Base!F62+Base!F63</f>
        <v>219592.356507255</v>
      </c>
      <c r="F17" s="24" t="n">
        <f aca="false">$A$5*Base!G58*(1-Base!$B$31)+Base!G59+E$4*Base!G60+Base!G62+Base!G63</f>
        <v>205013.796569225</v>
      </c>
      <c r="G17" s="24" t="n">
        <f aca="false">$A$5*Base!H58*(1-Base!$B$31)+Base!H59+E$4*Base!H60+Base!H62+Base!H63</f>
        <v>190555.173672812</v>
      </c>
      <c r="H17" s="24" t="n">
        <f aca="false">$A$5*Base!I58*(1-Base!$B$31)+Base!I59+E$4*Base!I60+Base!I62+Base!I63</f>
        <v>176209.060941056</v>
      </c>
      <c r="I17" s="24" t="n">
        <f aca="false">$A$5*Base!J58*(1-Base!$B$31)+Base!J59+E$4*Base!J60+Base!J62+Base!J63</f>
        <v>161968.156643314</v>
      </c>
      <c r="J17" s="24" t="n">
        <f aca="false">$A$5*Base!K58*(1-Base!$B$31)+Base!K59+E$4*Base!K60+Base!K62+Base!K63</f>
        <v>147825.278535506</v>
      </c>
      <c r="K17" s="24" t="n">
        <f aca="false">$A$5*Base!L58*(1-Base!$B$31)+Base!L59+E$4*Base!L60+Base!L62+Base!L63</f>
        <v>133773.358336863</v>
      </c>
      <c r="L17" s="24" t="n">
        <f aca="false">$A$5*Base!M58*(1-Base!$B$31)+Base!M59+E$4*Base!M60+Base!M62+Base!M63</f>
        <v>119805.436338215</v>
      </c>
      <c r="M17" s="24" t="n">
        <f aca="false">$A$5*Base!N58*(1-Base!$B$31)+Base!N59+E$4*Base!N60+Base!N62+Base!N63</f>
        <v>105914.656136954</v>
      </c>
      <c r="N17" s="24" t="n">
        <f aca="false">$A$5*Base!O58*(1-Base!$B$31)+Base!O59+E$4*Base!O60+Base!O62+Base!O63</f>
        <v>92094.2594940055</v>
      </c>
      <c r="O17" s="24" t="n">
        <f aca="false">$A$5*Base!P58*(1-Base!$B$31)+Base!P59+E$4*Base!P60+Base!P62+Base!P63</f>
        <v>78337.5813082077</v>
      </c>
      <c r="P17" s="24" t="n">
        <f aca="false">$A$5*Base!Q58*(1-Base!$B$31)+Base!Q59+E$4*Base!Q60+Base!Q62+Base!Q63</f>
        <v>64638.0447036616</v>
      </c>
      <c r="Q17" s="24" t="n">
        <f aca="false">$A$5*Base!R58*(1-Base!$B$31)+Base!R59+E$4*Base!R60+Base!R62+Base!R63</f>
        <v>50989.1562257299</v>
      </c>
      <c r="R17" s="24" t="n">
        <f aca="false">$A$5*Base!S58*(1-Base!$B$31)+Base!S59+E$4*Base!S60+Base!S62+Base!S63</f>
        <v>0</v>
      </c>
      <c r="S17" s="24" t="n">
        <f aca="false">$A$5*Base!T58*(1-Base!$B$31)+Base!T59+E$4*Base!T60+Base!T62+Base!T63</f>
        <v>0</v>
      </c>
      <c r="T17" s="24" t="n">
        <f aca="false">$A$5*Base!U58*(1-Base!$B$31)+Base!U59+E$4*Base!U60+Base!U62+Base!U63</f>
        <v>0</v>
      </c>
      <c r="U17" s="24" t="n">
        <f aca="false">$A$5*Base!V58*(1-Base!$B$31)+Base!V59+E$4*Base!V60+Base!V62+Base!V63</f>
        <v>0</v>
      </c>
      <c r="V17" s="24" t="n">
        <f aca="false">$A$5*Base!W58*(1-Base!$B$31)+Base!W59+E$4*Base!W60+Base!W62+Base!W63</f>
        <v>0</v>
      </c>
    </row>
    <row r="18" customFormat="false" ht="15" hidden="false" customHeight="false" outlineLevel="0" collapsed="false">
      <c r="A18" s="0" t="str">
        <f aca="false">"Indtægt "&amp;TEXT($A$5,"0%")&amp;" / investering "&amp;TEXT(F$4,"0%")</f>
        <v>Indtægt 70% / investering 110%</v>
      </c>
      <c r="B18" s="24" t="n">
        <f aca="false">Base!C65*F$4</f>
        <v>-6875000</v>
      </c>
      <c r="C18" s="24" t="n">
        <f aca="false">$A$5*Base!D58*(1-Base!$B$31)+Base!D59+F$4*Base!D60+Base!D62+Base!D63</f>
        <v>237279.095702765</v>
      </c>
      <c r="D18" s="24" t="n">
        <f aca="false">$A$5*Base!E58*(1-Base!$B$31)+Base!E59+F$4*Base!E60+Base!E62+Base!E63</f>
        <v>222200.64011156</v>
      </c>
      <c r="E18" s="24" t="n">
        <f aca="false">$A$5*Base!F58*(1-Base!$B$31)+Base!F59+F$4*Base!F60+Base!F62+Base!F63</f>
        <v>207252.629883255</v>
      </c>
      <c r="F18" s="24" t="n">
        <f aca="false">$A$5*Base!G58*(1-Base!$B$31)+Base!G59+F$4*Base!G60+Base!G62+Base!G63</f>
        <v>192427.275412745</v>
      </c>
      <c r="G18" s="24" t="n">
        <f aca="false">$A$5*Base!H58*(1-Base!$B$31)+Base!H59+F$4*Base!H60+Base!H62+Base!H63</f>
        <v>177716.922093203</v>
      </c>
      <c r="H18" s="24" t="n">
        <f aca="false">$A$5*Base!I58*(1-Base!$B$31)+Base!I59+F$4*Base!I60+Base!I62+Base!I63</f>
        <v>163114.044329854</v>
      </c>
      <c r="I18" s="24" t="n">
        <f aca="false">$A$5*Base!J58*(1-Base!$B$31)+Base!J59+F$4*Base!J60+Base!J62+Base!J63</f>
        <v>148611.239699888</v>
      </c>
      <c r="J18" s="24" t="n">
        <f aca="false">$A$5*Base!K58*(1-Base!$B$31)+Base!K59+F$4*Base!K60+Base!K62+Base!K63</f>
        <v>134201.223253211</v>
      </c>
      <c r="K18" s="24" t="n">
        <f aca="false">$A$5*Base!L58*(1-Base!$B$31)+Base!L59+F$4*Base!L60+Base!L62+Base!L63</f>
        <v>119876.821948923</v>
      </c>
      <c r="L18" s="24" t="n">
        <f aca="false">$A$5*Base!M58*(1-Base!$B$31)+Base!M59+F$4*Base!M60+Base!M62+Base!M63</f>
        <v>105630.969222516</v>
      </c>
      <c r="M18" s="24" t="n">
        <f aca="false">$A$5*Base!N58*(1-Base!$B$31)+Base!N59+F$4*Base!N60+Base!N62+Base!N63</f>
        <v>91456.6996789405</v>
      </c>
      <c r="N18" s="24" t="n">
        <f aca="false">$A$5*Base!O58*(1-Base!$B$31)+Base!O59+F$4*Base!O60+Base!O62+Base!O63</f>
        <v>77347.1439068322</v>
      </c>
      <c r="O18" s="24" t="n">
        <f aca="false">$A$5*Base!P58*(1-Base!$B$31)+Base!P59+F$4*Base!P60+Base!P62+Base!P63</f>
        <v>63295.5234092909</v>
      </c>
      <c r="P18" s="24" t="n">
        <f aca="false">$A$5*Base!Q58*(1-Base!$B$31)+Base!Q59+F$4*Base!Q60+Base!Q62+Base!Q63</f>
        <v>49295.1456467666</v>
      </c>
      <c r="Q18" s="24" t="n">
        <f aca="false">$A$5*Base!R58*(1-Base!$B$31)+Base!R59+F$4*Base!R60+Base!R62+Base!R63</f>
        <v>35339.3991876969</v>
      </c>
      <c r="R18" s="24" t="n">
        <f aca="false">$A$5*Base!S58*(1-Base!$B$31)+Base!S59+F$4*Base!S60+Base!S62+Base!S63</f>
        <v>0</v>
      </c>
      <c r="S18" s="24" t="n">
        <f aca="false">$A$5*Base!T58*(1-Base!$B$31)+Base!T59+F$4*Base!T60+Base!T62+Base!T63</f>
        <v>0</v>
      </c>
      <c r="T18" s="24" t="n">
        <f aca="false">$A$5*Base!U58*(1-Base!$B$31)+Base!U59+F$4*Base!U60+Base!U62+Base!U63</f>
        <v>0</v>
      </c>
      <c r="U18" s="24" t="n">
        <f aca="false">$A$5*Base!V58*(1-Base!$B$31)+Base!V59+F$4*Base!V60+Base!V62+Base!V63</f>
        <v>0</v>
      </c>
      <c r="V18" s="24" t="n">
        <f aca="false">$A$5*Base!W58*(1-Base!$B$31)+Base!W59+F$4*Base!W60+Base!W62+Base!W63</f>
        <v>0</v>
      </c>
    </row>
    <row r="19" customFormat="false" ht="15" hidden="false" customHeight="false" outlineLevel="0" collapsed="false">
      <c r="A19" s="0" t="str">
        <f aca="false">"Indtægt "&amp;TEXT($A$5,"0%")&amp;" / investering "&amp;TEXT(G$4,"0%")</f>
        <v>Indtægt 70% / investering 120%</v>
      </c>
      <c r="B19" s="24" t="n">
        <f aca="false">Base!C65*G$4</f>
        <v>-7500000</v>
      </c>
      <c r="C19" s="24" t="n">
        <f aca="false">$A$5*Base!D58*(1-Base!$B$31)+Base!D59+G$4*Base!D60+Base!D62+Base!D63</f>
        <v>225418.535702765</v>
      </c>
      <c r="D19" s="24" t="n">
        <f aca="false">$A$5*Base!E58*(1-Base!$B$31)+Base!E59+G$4*Base!E60+Base!E62+Base!E63</f>
        <v>210102.86891156</v>
      </c>
      <c r="E19" s="24" t="n">
        <f aca="false">$A$5*Base!F58*(1-Base!$B$31)+Base!F59+G$4*Base!F60+Base!F62+Base!F63</f>
        <v>194912.903259255</v>
      </c>
      <c r="F19" s="24" t="n">
        <f aca="false">$A$5*Base!G58*(1-Base!$B$31)+Base!G59+G$4*Base!G60+Base!G62+Base!G63</f>
        <v>179840.754256265</v>
      </c>
      <c r="G19" s="24" t="n">
        <f aca="false">$A$5*Base!H58*(1-Base!$B$31)+Base!H59+G$4*Base!H60+Base!H62+Base!H63</f>
        <v>164878.670513593</v>
      </c>
      <c r="H19" s="24" t="n">
        <f aca="false">$A$5*Base!I58*(1-Base!$B$31)+Base!I59+G$4*Base!I60+Base!I62+Base!I63</f>
        <v>150019.027718653</v>
      </c>
      <c r="I19" s="24" t="n">
        <f aca="false">$A$5*Base!J58*(1-Base!$B$31)+Base!J59+G$4*Base!J60+Base!J62+Base!J63</f>
        <v>135254.322756463</v>
      </c>
      <c r="J19" s="24" t="n">
        <f aca="false">$A$5*Base!K58*(1-Base!$B$31)+Base!K59+G$4*Base!K60+Base!K62+Base!K63</f>
        <v>120577.167970917</v>
      </c>
      <c r="K19" s="24" t="n">
        <f aca="false">$A$5*Base!L58*(1-Base!$B$31)+Base!L59+G$4*Base!L60+Base!L62+Base!L63</f>
        <v>105980.285560983</v>
      </c>
      <c r="L19" s="24" t="n">
        <f aca="false">$A$5*Base!M58*(1-Base!$B$31)+Base!M59+G$4*Base!M60+Base!M62+Base!M63</f>
        <v>91456.5021068166</v>
      </c>
      <c r="M19" s="24" t="n">
        <f aca="false">$A$5*Base!N58*(1-Base!$B$31)+Base!N59+G$4*Base!N60+Base!N62+Base!N63</f>
        <v>76998.7432209275</v>
      </c>
      <c r="N19" s="24" t="n">
        <f aca="false">$A$5*Base!O58*(1-Base!$B$31)+Base!O59+G$4*Base!O60+Base!O62+Base!O63</f>
        <v>62600.0283196589</v>
      </c>
      <c r="O19" s="24" t="n">
        <f aca="false">$A$5*Base!P58*(1-Base!$B$31)+Base!P59+G$4*Base!P60+Base!P62+Base!P63</f>
        <v>48253.4655103742</v>
      </c>
      <c r="P19" s="24" t="n">
        <f aca="false">$A$5*Base!Q58*(1-Base!$B$31)+Base!Q59+G$4*Base!Q60+Base!Q62+Base!Q63</f>
        <v>33952.2465898715</v>
      </c>
      <c r="Q19" s="24" t="n">
        <f aca="false">$A$5*Base!R58*(1-Base!$B$31)+Base!R59+G$4*Base!R60+Base!R62+Base!R63</f>
        <v>19689.6421496639</v>
      </c>
      <c r="R19" s="24" t="n">
        <f aca="false">$A$5*Base!S58*(1-Base!$B$31)+Base!S59+G$4*Base!S60+Base!S62+Base!S63</f>
        <v>0</v>
      </c>
      <c r="S19" s="24" t="n">
        <f aca="false">$A$5*Base!T58*(1-Base!$B$31)+Base!T59+G$4*Base!T60+Base!T62+Base!T63</f>
        <v>0</v>
      </c>
      <c r="T19" s="24" t="n">
        <f aca="false">$A$5*Base!U58*(1-Base!$B$31)+Base!U59+G$4*Base!U60+Base!U62+Base!U63</f>
        <v>0</v>
      </c>
      <c r="U19" s="24" t="n">
        <f aca="false">$A$5*Base!V58*(1-Base!$B$31)+Base!V59+G$4*Base!V60+Base!V62+Base!V63</f>
        <v>0</v>
      </c>
      <c r="V19" s="24" t="n">
        <f aca="false">$A$5*Base!W58*(1-Base!$B$31)+Base!W59+G$4*Base!W60+Base!W62+Base!W63</f>
        <v>0</v>
      </c>
    </row>
    <row r="20" customFormat="false" ht="15" hidden="false" customHeight="false" outlineLevel="0" collapsed="false">
      <c r="A20" s="0" t="str">
        <f aca="false">"Indtægt "&amp;TEXT($A$6,"0%")&amp;" / investering "&amp;TEXT(B$4,"0%")</f>
        <v>Indtægt 85% / investering 60%</v>
      </c>
      <c r="B20" s="24" t="n">
        <f aca="false">Base!C65*B$4</f>
        <v>-3750000</v>
      </c>
      <c r="C20" s="24" t="n">
        <f aca="false">$A$6*Base!D58*(1-Base!$B$31)+Base!D59+B$4*Base!D60+Base!D62+Base!D63</f>
        <v>435328.61107568</v>
      </c>
      <c r="D20" s="24" t="n">
        <f aca="false">$A$6*Base!E58*(1-Base!$B$31)+Base!E59+B$4*Base!E60+Base!E62+Base!E63</f>
        <v>419195.080307842</v>
      </c>
      <c r="E20" s="24" t="n">
        <f aca="false">$A$6*Base!F58*(1-Base!$B$31)+Base!F59+B$4*Base!F60+Base!F62+Base!F63</f>
        <v>403263.775152649</v>
      </c>
      <c r="F20" s="24" t="n">
        <f aca="false">$A$6*Base!G58*(1-Base!$B$31)+Base!G59+B$4*Base!G60+Base!G62+Base!G63</f>
        <v>387526.113234451</v>
      </c>
      <c r="G20" s="24" t="n">
        <f aca="false">$A$6*Base!H58*(1-Base!$B$31)+Base!H59+B$4*Base!H60+Base!H62+Base!H63</f>
        <v>371973.69363274</v>
      </c>
      <c r="H20" s="24" t="n">
        <f aca="false">$A$6*Base!I58*(1-Base!$B$31)+Base!I59+B$4*Base!I60+Base!I62+Base!I63</f>
        <v>356598.289963736</v>
      </c>
      <c r="I20" s="24" t="n">
        <f aca="false">$A$6*Base!J58*(1-Base!$B$31)+Base!J59+B$4*Base!J60+Base!J62+Base!J63</f>
        <v>341391.843646429</v>
      </c>
      <c r="J20" s="24" t="n">
        <f aca="false">$A$6*Base!K58*(1-Base!$B$31)+Base!K59+B$4*Base!K60+Base!K62+Base!K63</f>
        <v>326346.457346806</v>
      </c>
      <c r="K20" s="24" t="n">
        <f aca="false">$A$6*Base!L58*(1-Base!$B$31)+Base!L59+B$4*Base!L60+Base!L62+Base!L63</f>
        <v>311454.388594178</v>
      </c>
      <c r="L20" s="24" t="n">
        <f aca="false">$A$6*Base!M58*(1-Base!$B$31)+Base!M59+B$4*Base!M60+Base!M62+Base!M63</f>
        <v>296708.043563671</v>
      </c>
      <c r="M20" s="24" t="n">
        <f aca="false">$A$6*Base!N58*(1-Base!$B$31)+Base!N59+B$4*Base!N60+Base!N62+Base!N63</f>
        <v>282099.971019161</v>
      </c>
      <c r="N20" s="24" t="n">
        <f aca="false">$A$6*Base!O58*(1-Base!$B$31)+Base!O59+B$4*Base!O60+Base!O62+Base!O63</f>
        <v>267622.856411059</v>
      </c>
      <c r="O20" s="24" t="n">
        <f aca="false">$A$6*Base!P58*(1-Base!$B$31)+Base!P59+B$4*Base!P60+Base!P62+Base!P63</f>
        <v>253269.516123532</v>
      </c>
      <c r="P20" s="24" t="n">
        <f aca="false">$A$6*Base!Q58*(1-Base!$B$31)+Base!Q59+B$4*Base!Q60+Base!Q62+Base!Q63</f>
        <v>239032.891865897</v>
      </c>
      <c r="Q20" s="24" t="n">
        <f aca="false">$A$6*Base!R58*(1-Base!$B$31)+Base!R59+B$4*Base!R60+Base!R62+Base!R63</f>
        <v>224906.045203087</v>
      </c>
      <c r="R20" s="24" t="n">
        <f aca="false">$A$6*Base!S58*(1-Base!$B$31)+Base!S59+B$4*Base!S60+Base!S62+Base!S63</f>
        <v>0</v>
      </c>
      <c r="S20" s="24" t="n">
        <f aca="false">$A$6*Base!T58*(1-Base!$B$31)+Base!T59+B$4*Base!T60+Base!T62+Base!T63</f>
        <v>0</v>
      </c>
      <c r="T20" s="24" t="n">
        <f aca="false">$A$6*Base!U58*(1-Base!$B$31)+Base!U59+B$4*Base!U60+Base!U62+Base!U63</f>
        <v>0</v>
      </c>
      <c r="U20" s="24" t="n">
        <f aca="false">$A$6*Base!V58*(1-Base!$B$31)+Base!V59+B$4*Base!V60+Base!V62+Base!V63</f>
        <v>0</v>
      </c>
      <c r="V20" s="24" t="n">
        <f aca="false">$A$6*Base!W58*(1-Base!$B$31)+Base!W59+B$4*Base!W60+Base!W62+Base!W63</f>
        <v>0</v>
      </c>
    </row>
    <row r="21" customFormat="false" ht="15" hidden="false" customHeight="false" outlineLevel="0" collapsed="false">
      <c r="A21" s="0" t="str">
        <f aca="false">"Indtægt "&amp;TEXT($A$6,"0%")&amp;" / investering "&amp;TEXT(C$4,"0%")</f>
        <v>Indtægt 85% / investering 80%</v>
      </c>
      <c r="B21" s="24" t="n">
        <f aca="false">Base!C65*C$4</f>
        <v>-5000000</v>
      </c>
      <c r="C21" s="24" t="n">
        <f aca="false">$A$6*Base!D58*(1-Base!$B$31)+Base!D59+C$4*Base!D60+Base!D62+Base!D63</f>
        <v>411607.49107568</v>
      </c>
      <c r="D21" s="24" t="n">
        <f aca="false">$A$6*Base!E58*(1-Base!$B$31)+Base!E59+C$4*Base!E60+Base!E62+Base!E63</f>
        <v>394999.537907842</v>
      </c>
      <c r="E21" s="24" t="n">
        <f aca="false">$A$6*Base!F58*(1-Base!$B$31)+Base!F59+C$4*Base!F60+Base!F62+Base!F63</f>
        <v>378584.321904649</v>
      </c>
      <c r="F21" s="24" t="n">
        <f aca="false">$A$6*Base!G58*(1-Base!$B$31)+Base!G59+C$4*Base!G60+Base!G62+Base!G63</f>
        <v>362353.070921491</v>
      </c>
      <c r="G21" s="24" t="n">
        <f aca="false">$A$6*Base!H58*(1-Base!$B$31)+Base!H59+C$4*Base!H60+Base!H62+Base!H63</f>
        <v>346297.190473521</v>
      </c>
      <c r="H21" s="24" t="n">
        <f aca="false">$A$6*Base!I58*(1-Base!$B$31)+Base!I59+C$4*Base!I60+Base!I62+Base!I63</f>
        <v>330408.256741333</v>
      </c>
      <c r="I21" s="24" t="n">
        <f aca="false">$A$6*Base!J58*(1-Base!$B$31)+Base!J59+C$4*Base!J60+Base!J62+Base!J63</f>
        <v>314678.009759577</v>
      </c>
      <c r="J21" s="24" t="n">
        <f aca="false">$A$6*Base!K58*(1-Base!$B$31)+Base!K59+C$4*Base!K60+Base!K62+Base!K63</f>
        <v>299098.346782218</v>
      </c>
      <c r="K21" s="24" t="n">
        <f aca="false">$A$6*Base!L58*(1-Base!$B$31)+Base!L59+C$4*Base!L60+Base!L62+Base!L63</f>
        <v>283661.315818298</v>
      </c>
      <c r="L21" s="24" t="n">
        <f aca="false">$A$6*Base!M58*(1-Base!$B$31)+Base!M59+C$4*Base!M60+Base!M62+Base!M63</f>
        <v>268359.109332273</v>
      </c>
      <c r="M21" s="24" t="n">
        <f aca="false">$A$6*Base!N58*(1-Base!$B$31)+Base!N59+C$4*Base!N60+Base!N62+Base!N63</f>
        <v>253184.058103135</v>
      </c>
      <c r="N21" s="24" t="n">
        <f aca="false">$A$6*Base!O58*(1-Base!$B$31)+Base!O59+C$4*Base!O60+Base!O62+Base!O63</f>
        <v>238128.625236713</v>
      </c>
      <c r="O21" s="24" t="n">
        <f aca="false">$A$6*Base!P58*(1-Base!$B$31)+Base!P59+C$4*Base!P60+Base!P62+Base!P63</f>
        <v>223185.400325698</v>
      </c>
      <c r="P21" s="24" t="n">
        <f aca="false">$A$6*Base!Q58*(1-Base!$B$31)+Base!Q59+C$4*Base!Q60+Base!Q62+Base!Q63</f>
        <v>208347.093752107</v>
      </c>
      <c r="Q21" s="24" t="n">
        <f aca="false">$A$6*Base!R58*(1-Base!$B$31)+Base!R59+C$4*Base!R60+Base!R62+Base!R63</f>
        <v>193606.531127021</v>
      </c>
      <c r="R21" s="24" t="n">
        <f aca="false">$A$6*Base!S58*(1-Base!$B$31)+Base!S59+C$4*Base!S60+Base!S62+Base!S63</f>
        <v>0</v>
      </c>
      <c r="S21" s="24" t="n">
        <f aca="false">$A$6*Base!T58*(1-Base!$B$31)+Base!T59+C$4*Base!T60+Base!T62+Base!T63</f>
        <v>0</v>
      </c>
      <c r="T21" s="24" t="n">
        <f aca="false">$A$6*Base!U58*(1-Base!$B$31)+Base!U59+C$4*Base!U60+Base!U62+Base!U63</f>
        <v>0</v>
      </c>
      <c r="U21" s="24" t="n">
        <f aca="false">$A$6*Base!V58*(1-Base!$B$31)+Base!V59+C$4*Base!V60+Base!V62+Base!V63</f>
        <v>0</v>
      </c>
      <c r="V21" s="24" t="n">
        <f aca="false">$A$6*Base!W58*(1-Base!$B$31)+Base!W59+C$4*Base!W60+Base!W62+Base!W63</f>
        <v>0</v>
      </c>
    </row>
    <row r="22" customFormat="false" ht="15" hidden="false" customHeight="false" outlineLevel="0" collapsed="false">
      <c r="A22" s="0" t="str">
        <f aca="false">"Indtægt "&amp;TEXT($A$6,"0%")&amp;" / investering "&amp;TEXT(D$4,"0%")</f>
        <v>Indtægt 85% / investering 90%</v>
      </c>
      <c r="B22" s="24" t="n">
        <f aca="false">Base!C65*D$4</f>
        <v>-5625000</v>
      </c>
      <c r="C22" s="24" t="n">
        <f aca="false">$A$6*Base!D58*(1-Base!$B$31)+Base!D59+D$4*Base!D60+Base!D62+Base!D63</f>
        <v>399746.93107568</v>
      </c>
      <c r="D22" s="24" t="n">
        <f aca="false">$A$6*Base!E58*(1-Base!$B$31)+Base!E59+D$4*Base!E60+Base!E62+Base!E63</f>
        <v>382901.766707842</v>
      </c>
      <c r="E22" s="24" t="n">
        <f aca="false">$A$6*Base!F58*(1-Base!$B$31)+Base!F59+D$4*Base!F60+Base!F62+Base!F63</f>
        <v>366244.595280649</v>
      </c>
      <c r="F22" s="24" t="n">
        <f aca="false">$A$6*Base!G58*(1-Base!$B$31)+Base!G59+D$4*Base!G60+Base!G62+Base!G63</f>
        <v>349766.549765011</v>
      </c>
      <c r="G22" s="24" t="n">
        <f aca="false">$A$6*Base!H58*(1-Base!$B$31)+Base!H59+D$4*Base!H60+Base!H62+Base!H63</f>
        <v>333458.938893911</v>
      </c>
      <c r="H22" s="24" t="n">
        <f aca="false">$A$6*Base!I58*(1-Base!$B$31)+Base!I59+D$4*Base!I60+Base!I62+Base!I63</f>
        <v>317313.240130131</v>
      </c>
      <c r="I22" s="24" t="n">
        <f aca="false">$A$6*Base!J58*(1-Base!$B$31)+Base!J59+D$4*Base!J60+Base!J62+Base!J63</f>
        <v>301321.092816151</v>
      </c>
      <c r="J22" s="24" t="n">
        <f aca="false">$A$6*Base!K58*(1-Base!$B$31)+Base!K59+D$4*Base!K60+Base!K62+Base!K63</f>
        <v>285474.291499923</v>
      </c>
      <c r="K22" s="24" t="n">
        <f aca="false">$A$6*Base!L58*(1-Base!$B$31)+Base!L59+D$4*Base!L60+Base!L62+Base!L63</f>
        <v>269764.779430357</v>
      </c>
      <c r="L22" s="24" t="n">
        <f aca="false">$A$6*Base!M58*(1-Base!$B$31)+Base!M59+D$4*Base!M60+Base!M62+Base!M63</f>
        <v>254184.642216574</v>
      </c>
      <c r="M22" s="24" t="n">
        <f aca="false">$A$6*Base!N58*(1-Base!$B$31)+Base!N59+D$4*Base!N60+Base!N62+Base!N63</f>
        <v>238726.101645122</v>
      </c>
      <c r="N22" s="24" t="n">
        <f aca="false">$A$6*Base!O58*(1-Base!$B$31)+Base!O59+D$4*Base!O60+Base!O62+Base!O63</f>
        <v>223381.509649539</v>
      </c>
      <c r="O22" s="24" t="n">
        <f aca="false">$A$6*Base!P58*(1-Base!$B$31)+Base!P59+D$4*Base!P60+Base!P62+Base!P63</f>
        <v>208143.342426781</v>
      </c>
      <c r="P22" s="24" t="n">
        <f aca="false">$A$6*Base!Q58*(1-Base!$B$31)+Base!Q59+D$4*Base!Q60+Base!Q62+Base!Q63</f>
        <v>193004.194695212</v>
      </c>
      <c r="Q22" s="24" t="n">
        <f aca="false">$A$6*Base!R58*(1-Base!$B$31)+Base!R59+D$4*Base!R60+Base!R62+Base!R63</f>
        <v>177956.774088988</v>
      </c>
      <c r="R22" s="24" t="n">
        <f aca="false">$A$6*Base!S58*(1-Base!$B$31)+Base!S59+D$4*Base!S60+Base!S62+Base!S63</f>
        <v>0</v>
      </c>
      <c r="S22" s="24" t="n">
        <f aca="false">$A$6*Base!T58*(1-Base!$B$31)+Base!T59+D$4*Base!T60+Base!T62+Base!T63</f>
        <v>0</v>
      </c>
      <c r="T22" s="24" t="n">
        <f aca="false">$A$6*Base!U58*(1-Base!$B$31)+Base!U59+D$4*Base!U60+Base!U62+Base!U63</f>
        <v>0</v>
      </c>
      <c r="U22" s="24" t="n">
        <f aca="false">$A$6*Base!V58*(1-Base!$B$31)+Base!V59+D$4*Base!V60+Base!V62+Base!V63</f>
        <v>0</v>
      </c>
      <c r="V22" s="24" t="n">
        <f aca="false">$A$6*Base!W58*(1-Base!$B$31)+Base!W59+D$4*Base!W60+Base!W62+Base!W63</f>
        <v>0</v>
      </c>
    </row>
    <row r="23" customFormat="false" ht="15" hidden="false" customHeight="false" outlineLevel="0" collapsed="false">
      <c r="A23" s="0" t="str">
        <f aca="false">"Indtægt "&amp;TEXT($A$6,"0%")&amp;" / investering "&amp;TEXT(E$4,"0%")</f>
        <v>Indtægt 85% / investering 100%</v>
      </c>
      <c r="B23" s="24" t="n">
        <f aca="false">Base!C65*E$4</f>
        <v>-6250000</v>
      </c>
      <c r="C23" s="24" t="n">
        <f aca="false">$A$6*Base!D58*(1-Base!$B$31)+Base!D59+E$4*Base!D60+Base!D62+Base!D63</f>
        <v>387886.37107568</v>
      </c>
      <c r="D23" s="24" t="n">
        <f aca="false">$A$6*Base!E58*(1-Base!$B$31)+Base!E59+E$4*Base!E60+Base!E62+Base!E63</f>
        <v>370803.995507842</v>
      </c>
      <c r="E23" s="24" t="n">
        <f aca="false">$A$6*Base!F58*(1-Base!$B$31)+Base!F59+E$4*Base!F60+Base!F62+Base!F63</f>
        <v>353904.868656649</v>
      </c>
      <c r="F23" s="24" t="n">
        <f aca="false">$A$6*Base!G58*(1-Base!$B$31)+Base!G59+E$4*Base!G60+Base!G62+Base!G63</f>
        <v>337180.028608531</v>
      </c>
      <c r="G23" s="24" t="n">
        <f aca="false">$A$6*Base!H58*(1-Base!$B$31)+Base!H59+E$4*Base!H60+Base!H62+Base!H63</f>
        <v>320620.687314302</v>
      </c>
      <c r="H23" s="24" t="n">
        <f aca="false">$A$6*Base!I58*(1-Base!$B$31)+Base!I59+E$4*Base!I60+Base!I62+Base!I63</f>
        <v>304218.223518929</v>
      </c>
      <c r="I23" s="24" t="n">
        <f aca="false">$A$6*Base!J58*(1-Base!$B$31)+Base!J59+E$4*Base!J60+Base!J62+Base!J63</f>
        <v>287964.175872725</v>
      </c>
      <c r="J23" s="24" t="n">
        <f aca="false">$A$6*Base!K58*(1-Base!$B$31)+Base!K59+E$4*Base!K60+Base!K62+Base!K63</f>
        <v>271850.236217629</v>
      </c>
      <c r="K23" s="24" t="n">
        <f aca="false">$A$6*Base!L58*(1-Base!$B$31)+Base!L59+E$4*Base!L60+Base!L62+Base!L63</f>
        <v>255868.243042417</v>
      </c>
      <c r="L23" s="24" t="n">
        <f aca="false">$A$6*Base!M58*(1-Base!$B$31)+Base!M59+E$4*Base!M60+Base!M62+Base!M63</f>
        <v>240010.175100875</v>
      </c>
      <c r="M23" s="24" t="n">
        <f aca="false">$A$6*Base!N58*(1-Base!$B$31)+Base!N59+E$4*Base!N60+Base!N62+Base!N63</f>
        <v>224268.145187109</v>
      </c>
      <c r="N23" s="24" t="n">
        <f aca="false">$A$6*Base!O58*(1-Base!$B$31)+Base!O59+E$4*Base!O60+Base!O62+Base!O63</f>
        <v>208634.394062366</v>
      </c>
      <c r="O23" s="24" t="n">
        <f aca="false">$A$6*Base!P58*(1-Base!$B$31)+Base!P59+E$4*Base!P60+Base!P62+Base!P63</f>
        <v>193101.284527865</v>
      </c>
      <c r="P23" s="24" t="n">
        <f aca="false">$A$6*Base!Q58*(1-Base!$B$31)+Base!Q59+E$4*Base!Q60+Base!Q62+Base!Q63</f>
        <v>177661.295638317</v>
      </c>
      <c r="Q23" s="24" t="n">
        <f aca="false">$A$6*Base!R58*(1-Base!$B$31)+Base!R59+E$4*Base!R60+Base!R62+Base!R63</f>
        <v>162307.017050955</v>
      </c>
      <c r="R23" s="24" t="n">
        <f aca="false">$A$6*Base!S58*(1-Base!$B$31)+Base!S59+E$4*Base!S60+Base!S62+Base!S63</f>
        <v>0</v>
      </c>
      <c r="S23" s="24" t="n">
        <f aca="false">$A$6*Base!T58*(1-Base!$B$31)+Base!T59+E$4*Base!T60+Base!T62+Base!T63</f>
        <v>0</v>
      </c>
      <c r="T23" s="24" t="n">
        <f aca="false">$A$6*Base!U58*(1-Base!$B$31)+Base!U59+E$4*Base!U60+Base!U62+Base!U63</f>
        <v>0</v>
      </c>
      <c r="U23" s="24" t="n">
        <f aca="false">$A$6*Base!V58*(1-Base!$B$31)+Base!V59+E$4*Base!V60+Base!V62+Base!V63</f>
        <v>0</v>
      </c>
      <c r="V23" s="24" t="n">
        <f aca="false">$A$6*Base!W58*(1-Base!$B$31)+Base!W59+E$4*Base!W60+Base!W62+Base!W63</f>
        <v>0</v>
      </c>
    </row>
    <row r="24" customFormat="false" ht="15" hidden="false" customHeight="false" outlineLevel="0" collapsed="false">
      <c r="A24" s="0" t="str">
        <f aca="false">"Indtægt "&amp;TEXT($A$6,"0%")&amp;" / investering "&amp;TEXT(F$4,"0%")</f>
        <v>Indtægt 85% / investering 110%</v>
      </c>
      <c r="B24" s="24" t="n">
        <f aca="false">Base!C65*F$4</f>
        <v>-6875000</v>
      </c>
      <c r="C24" s="24" t="n">
        <f aca="false">$A$6*Base!D58*(1-Base!$B$31)+Base!D59+F$4*Base!D60+Base!D62+Base!D63</f>
        <v>376025.81107568</v>
      </c>
      <c r="D24" s="24" t="n">
        <f aca="false">$A$6*Base!E58*(1-Base!$B$31)+Base!E59+F$4*Base!E60+Base!E62+Base!E63</f>
        <v>358706.224307842</v>
      </c>
      <c r="E24" s="24" t="n">
        <f aca="false">$A$6*Base!F58*(1-Base!$B$31)+Base!F59+F$4*Base!F60+Base!F62+Base!F63</f>
        <v>341565.142032649</v>
      </c>
      <c r="F24" s="24" t="n">
        <f aca="false">$A$6*Base!G58*(1-Base!$B$31)+Base!G59+F$4*Base!G60+Base!G62+Base!G63</f>
        <v>324593.507452051</v>
      </c>
      <c r="G24" s="24" t="n">
        <f aca="false">$A$6*Base!H58*(1-Base!$B$31)+Base!H59+F$4*Base!H60+Base!H62+Base!H63</f>
        <v>307782.435734692</v>
      </c>
      <c r="H24" s="24" t="n">
        <f aca="false">$A$6*Base!I58*(1-Base!$B$31)+Base!I59+F$4*Base!I60+Base!I62+Base!I63</f>
        <v>291123.206907727</v>
      </c>
      <c r="I24" s="24" t="n">
        <f aca="false">$A$6*Base!J58*(1-Base!$B$31)+Base!J59+F$4*Base!J60+Base!J62+Base!J63</f>
        <v>274607.258929299</v>
      </c>
      <c r="J24" s="24" t="n">
        <f aca="false">$A$6*Base!K58*(1-Base!$B$31)+Base!K59+F$4*Base!K60+Base!K62+Base!K63</f>
        <v>258226.180935335</v>
      </c>
      <c r="K24" s="24" t="n">
        <f aca="false">$A$6*Base!L58*(1-Base!$B$31)+Base!L59+F$4*Base!L60+Base!L62+Base!L63</f>
        <v>241971.706654477</v>
      </c>
      <c r="L24" s="24" t="n">
        <f aca="false">$A$6*Base!M58*(1-Base!$B$31)+Base!M59+F$4*Base!M60+Base!M62+Base!M63</f>
        <v>225835.707985176</v>
      </c>
      <c r="M24" s="24" t="n">
        <f aca="false">$A$6*Base!N58*(1-Base!$B$31)+Base!N59+F$4*Base!N60+Base!N62+Base!N63</f>
        <v>209810.188729096</v>
      </c>
      <c r="N24" s="24" t="n">
        <f aca="false">$A$6*Base!O58*(1-Base!$B$31)+Base!O59+F$4*Base!O60+Base!O62+Base!O63</f>
        <v>193887.278475193</v>
      </c>
      <c r="O24" s="24" t="n">
        <f aca="false">$A$6*Base!P58*(1-Base!$B$31)+Base!P59+F$4*Base!P60+Base!P62+Base!P63</f>
        <v>178059.226628948</v>
      </c>
      <c r="P24" s="24" t="n">
        <f aca="false">$A$6*Base!Q58*(1-Base!$B$31)+Base!Q59+F$4*Base!Q60+Base!Q62+Base!Q63</f>
        <v>162318.396581422</v>
      </c>
      <c r="Q24" s="24" t="n">
        <f aca="false">$A$6*Base!R58*(1-Base!$B$31)+Base!R59+F$4*Base!R60+Base!R62+Base!R63</f>
        <v>146657.260012922</v>
      </c>
      <c r="R24" s="24" t="n">
        <f aca="false">$A$6*Base!S58*(1-Base!$B$31)+Base!S59+F$4*Base!S60+Base!S62+Base!S63</f>
        <v>0</v>
      </c>
      <c r="S24" s="24" t="n">
        <f aca="false">$A$6*Base!T58*(1-Base!$B$31)+Base!T59+F$4*Base!T60+Base!T62+Base!T63</f>
        <v>0</v>
      </c>
      <c r="T24" s="24" t="n">
        <f aca="false">$A$6*Base!U58*(1-Base!$B$31)+Base!U59+F$4*Base!U60+Base!U62+Base!U63</f>
        <v>0</v>
      </c>
      <c r="U24" s="24" t="n">
        <f aca="false">$A$6*Base!V58*(1-Base!$B$31)+Base!V59+F$4*Base!V60+Base!V62+Base!V63</f>
        <v>0</v>
      </c>
      <c r="V24" s="24" t="n">
        <f aca="false">$A$6*Base!W58*(1-Base!$B$31)+Base!W59+F$4*Base!W60+Base!W62+Base!W63</f>
        <v>0</v>
      </c>
    </row>
    <row r="25" customFormat="false" ht="15" hidden="false" customHeight="false" outlineLevel="0" collapsed="false">
      <c r="A25" s="0" t="str">
        <f aca="false">"Indtægt "&amp;TEXT($A$6,"0%")&amp;" / investering "&amp;TEXT(G$4,"0%")</f>
        <v>Indtægt 85% / investering 120%</v>
      </c>
      <c r="B25" s="24" t="n">
        <f aca="false">Base!C65*G$4</f>
        <v>-7500000</v>
      </c>
      <c r="C25" s="24" t="n">
        <f aca="false">$A$6*Base!D58*(1-Base!$B$31)+Base!D59+G$4*Base!D60+Base!D62+Base!D63</f>
        <v>364165.25107568</v>
      </c>
      <c r="D25" s="24" t="n">
        <f aca="false">$A$6*Base!E58*(1-Base!$B$31)+Base!E59+G$4*Base!E60+Base!E62+Base!E63</f>
        <v>346608.453107842</v>
      </c>
      <c r="E25" s="24" t="n">
        <f aca="false">$A$6*Base!F58*(1-Base!$B$31)+Base!F59+G$4*Base!F60+Base!F62+Base!F63</f>
        <v>329225.415408649</v>
      </c>
      <c r="F25" s="24" t="n">
        <f aca="false">$A$6*Base!G58*(1-Base!$B$31)+Base!G59+G$4*Base!G60+Base!G62+Base!G63</f>
        <v>312006.986295571</v>
      </c>
      <c r="G25" s="24" t="n">
        <f aca="false">$A$6*Base!H58*(1-Base!$B$31)+Base!H59+G$4*Base!H60+Base!H62+Base!H63</f>
        <v>294944.184155082</v>
      </c>
      <c r="H25" s="24" t="n">
        <f aca="false">$A$6*Base!I58*(1-Base!$B$31)+Base!I59+G$4*Base!I60+Base!I62+Base!I63</f>
        <v>278028.190296525</v>
      </c>
      <c r="I25" s="24" t="n">
        <f aca="false">$A$6*Base!J58*(1-Base!$B$31)+Base!J59+G$4*Base!J60+Base!J62+Base!J63</f>
        <v>261250.341985874</v>
      </c>
      <c r="J25" s="24" t="n">
        <f aca="false">$A$6*Base!K58*(1-Base!$B$31)+Base!K59+G$4*Base!K60+Base!K62+Base!K63</f>
        <v>244602.12565304</v>
      </c>
      <c r="K25" s="24" t="n">
        <f aca="false">$A$6*Base!L58*(1-Base!$B$31)+Base!L59+G$4*Base!L60+Base!L62+Base!L63</f>
        <v>228075.170266537</v>
      </c>
      <c r="L25" s="24" t="n">
        <f aca="false">$A$6*Base!M58*(1-Base!$B$31)+Base!M59+G$4*Base!M60+Base!M62+Base!M63</f>
        <v>211661.240869477</v>
      </c>
      <c r="M25" s="24" t="n">
        <f aca="false">$A$6*Base!N58*(1-Base!$B$31)+Base!N59+G$4*Base!N60+Base!N62+Base!N63</f>
        <v>195352.232271083</v>
      </c>
      <c r="N25" s="24" t="n">
        <f aca="false">$A$6*Base!O58*(1-Base!$B$31)+Base!O59+G$4*Base!O60+Base!O62+Base!O63</f>
        <v>179140.16288802</v>
      </c>
      <c r="O25" s="24" t="n">
        <f aca="false">$A$6*Base!P58*(1-Base!$B$31)+Base!P59+G$4*Base!P60+Base!P62+Base!P63</f>
        <v>163017.168730031</v>
      </c>
      <c r="P25" s="24" t="n">
        <f aca="false">$A$6*Base!Q58*(1-Base!$B$31)+Base!Q59+G$4*Base!Q60+Base!Q62+Base!Q63</f>
        <v>146975.497524527</v>
      </c>
      <c r="Q25" s="24" t="n">
        <f aca="false">$A$6*Base!R58*(1-Base!$B$31)+Base!R59+G$4*Base!R60+Base!R62+Base!R63</f>
        <v>131007.502974889</v>
      </c>
      <c r="R25" s="24" t="n">
        <f aca="false">$A$6*Base!S58*(1-Base!$B$31)+Base!S59+G$4*Base!S60+Base!S62+Base!S63</f>
        <v>0</v>
      </c>
      <c r="S25" s="24" t="n">
        <f aca="false">$A$6*Base!T58*(1-Base!$B$31)+Base!T59+G$4*Base!T60+Base!T62+Base!T63</f>
        <v>0</v>
      </c>
      <c r="T25" s="24" t="n">
        <f aca="false">$A$6*Base!U58*(1-Base!$B$31)+Base!U59+G$4*Base!U60+Base!U62+Base!U63</f>
        <v>0</v>
      </c>
      <c r="U25" s="24" t="n">
        <f aca="false">$A$6*Base!V58*(1-Base!$B$31)+Base!V59+G$4*Base!V60+Base!V62+Base!V63</f>
        <v>0</v>
      </c>
      <c r="V25" s="24" t="n">
        <f aca="false">$A$6*Base!W58*(1-Base!$B$31)+Base!W59+G$4*Base!W60+Base!W62+Base!W63</f>
        <v>0</v>
      </c>
    </row>
    <row r="26" customFormat="false" ht="15" hidden="false" customHeight="false" outlineLevel="0" collapsed="false">
      <c r="A26" s="0" t="str">
        <f aca="false">"Indtægt "&amp;TEXT($A$7,"0%")&amp;" / investering "&amp;TEXT(B$4,"0%")</f>
        <v>Indtægt 100% / investering 60%</v>
      </c>
      <c r="B26" s="24" t="n">
        <f aca="false">Base!C65*B$4</f>
        <v>-3750000</v>
      </c>
      <c r="C26" s="24" t="n">
        <f aca="false">$A$7*Base!D58*(1-Base!$B$31)+Base!D59+B$4*Base!D60+Base!D62+Base!D63</f>
        <v>574075.326448595</v>
      </c>
      <c r="D26" s="24" t="n">
        <f aca="false">$A$7*Base!E58*(1-Base!$B$31)+Base!E59+B$4*Base!E60+Base!E62+Base!E63</f>
        <v>555700.664504124</v>
      </c>
      <c r="E26" s="24" t="n">
        <f aca="false">$A$7*Base!F58*(1-Base!$B$31)+Base!F59+B$4*Base!F60+Base!F62+Base!F63</f>
        <v>537576.287302043</v>
      </c>
      <c r="F26" s="24" t="n">
        <f aca="false">$A$7*Base!G58*(1-Base!$B$31)+Base!G59+B$4*Base!G60+Base!G62+Base!G63</f>
        <v>519692.345273757</v>
      </c>
      <c r="G26" s="24" t="n">
        <f aca="false">$A$7*Base!H58*(1-Base!$B$31)+Base!H59+B$4*Base!H60+Base!H62+Base!H63</f>
        <v>502039.20727423</v>
      </c>
      <c r="H26" s="24" t="n">
        <f aca="false">$A$7*Base!I58*(1-Base!$B$31)+Base!I59+B$4*Base!I60+Base!I62+Base!I63</f>
        <v>484607.452541609</v>
      </c>
      <c r="I26" s="24" t="n">
        <f aca="false">$A$7*Base!J58*(1-Base!$B$31)+Base!J59+B$4*Base!J60+Base!J62+Base!J63</f>
        <v>467387.86287584</v>
      </c>
      <c r="J26" s="24" t="n">
        <f aca="false">$A$7*Base!K58*(1-Base!$B$31)+Base!K59+B$4*Base!K60+Base!K62+Base!K63</f>
        <v>450371.41502893</v>
      </c>
      <c r="K26" s="24" t="n">
        <f aca="false">$A$7*Base!L58*(1-Base!$B$31)+Base!L59+B$4*Base!L60+Base!L62+Base!L63</f>
        <v>433549.273299732</v>
      </c>
      <c r="L26" s="24" t="n">
        <f aca="false">$A$7*Base!M58*(1-Base!$B$31)+Base!M59+B$4*Base!M60+Base!M62+Base!M63</f>
        <v>416912.782326332</v>
      </c>
      <c r="M26" s="24" t="n">
        <f aca="false">$A$7*Base!N58*(1-Base!$B$31)+Base!N59+B$4*Base!N60+Base!N62+Base!N63</f>
        <v>400453.460069317</v>
      </c>
      <c r="N26" s="24" t="n">
        <f aca="false">$A$7*Base!O58*(1-Base!$B$31)+Base!O59+B$4*Base!O60+Base!O62+Base!O63</f>
        <v>384162.99097942</v>
      </c>
      <c r="O26" s="24" t="n">
        <f aca="false">$A$7*Base!P58*(1-Base!$B$31)+Base!P59+B$4*Base!P60+Base!P62+Base!P63</f>
        <v>368033.219343188</v>
      </c>
      <c r="P26" s="24" t="n">
        <f aca="false">$A$7*Base!Q58*(1-Base!$B$31)+Base!Q59+B$4*Base!Q60+Base!Q62+Base!Q63</f>
        <v>352056.142800553</v>
      </c>
      <c r="Q26" s="24" t="n">
        <f aca="false">$A$7*Base!R58*(1-Base!$B$31)+Base!R59+B$4*Base!R60+Base!R62+Base!R63</f>
        <v>336223.906028312</v>
      </c>
      <c r="R26" s="24" t="n">
        <f aca="false">$A$7*Base!S58*(1-Base!$B$31)+Base!S59+B$4*Base!S60+Base!S62+Base!S63</f>
        <v>0</v>
      </c>
      <c r="S26" s="24" t="n">
        <f aca="false">$A$7*Base!T58*(1-Base!$B$31)+Base!T59+B$4*Base!T60+Base!T62+Base!T63</f>
        <v>0</v>
      </c>
      <c r="T26" s="24" t="n">
        <f aca="false">$A$7*Base!U58*(1-Base!$B$31)+Base!U59+B$4*Base!U60+Base!U62+Base!U63</f>
        <v>0</v>
      </c>
      <c r="U26" s="24" t="n">
        <f aca="false">$A$7*Base!V58*(1-Base!$B$31)+Base!V59+B$4*Base!V60+Base!V62+Base!V63</f>
        <v>0</v>
      </c>
      <c r="V26" s="24" t="n">
        <f aca="false">$A$7*Base!W58*(1-Base!$B$31)+Base!W59+B$4*Base!W60+Base!W62+Base!W63</f>
        <v>0</v>
      </c>
    </row>
    <row r="27" customFormat="false" ht="15" hidden="false" customHeight="false" outlineLevel="0" collapsed="false">
      <c r="A27" s="0" t="str">
        <f aca="false">"Indtægt "&amp;TEXT($A$7,"0%")&amp;" / investering "&amp;TEXT(C$4,"0%")</f>
        <v>Indtægt 100% / investering 80%</v>
      </c>
      <c r="B27" s="24" t="n">
        <f aca="false">Base!C65*C$4</f>
        <v>-5000000</v>
      </c>
      <c r="C27" s="24" t="n">
        <f aca="false">$A$7*Base!D58*(1-Base!$B$31)+Base!D59+C$4*Base!D60+Base!D62+Base!D63</f>
        <v>550354.206448595</v>
      </c>
      <c r="D27" s="24" t="n">
        <f aca="false">$A$7*Base!E58*(1-Base!$B$31)+Base!E59+C$4*Base!E60+Base!E62+Base!E63</f>
        <v>531505.122104124</v>
      </c>
      <c r="E27" s="24" t="n">
        <f aca="false">$A$7*Base!F58*(1-Base!$B$31)+Base!F59+C$4*Base!F60+Base!F62+Base!F63</f>
        <v>512896.834054043</v>
      </c>
      <c r="F27" s="24" t="n">
        <f aca="false">$A$7*Base!G58*(1-Base!$B$31)+Base!G59+C$4*Base!G60+Base!G62+Base!G63</f>
        <v>494519.302960797</v>
      </c>
      <c r="G27" s="24" t="n">
        <f aca="false">$A$7*Base!H58*(1-Base!$B$31)+Base!H59+C$4*Base!H60+Base!H62+Base!H63</f>
        <v>476362.704115011</v>
      </c>
      <c r="H27" s="24" t="n">
        <f aca="false">$A$7*Base!I58*(1-Base!$B$31)+Base!I59+C$4*Base!I60+Base!I62+Base!I63</f>
        <v>458417.419319205</v>
      </c>
      <c r="I27" s="24" t="n">
        <f aca="false">$A$7*Base!J58*(1-Base!$B$31)+Base!J59+C$4*Base!J60+Base!J62+Base!J63</f>
        <v>440674.028988988</v>
      </c>
      <c r="J27" s="24" t="n">
        <f aca="false">$A$7*Base!K58*(1-Base!$B$31)+Base!K59+C$4*Base!K60+Base!K62+Base!K63</f>
        <v>423123.304464341</v>
      </c>
      <c r="K27" s="24" t="n">
        <f aca="false">$A$7*Base!L58*(1-Base!$B$31)+Base!L59+C$4*Base!L60+Base!L62+Base!L63</f>
        <v>405756.200523852</v>
      </c>
      <c r="L27" s="24" t="n">
        <f aca="false">$A$7*Base!M58*(1-Base!$B$31)+Base!M59+C$4*Base!M60+Base!M62+Base!M63</f>
        <v>388563.848094934</v>
      </c>
      <c r="M27" s="24" t="n">
        <f aca="false">$A$7*Base!N58*(1-Base!$B$31)+Base!N59+C$4*Base!N60+Base!N62+Base!N63</f>
        <v>371537.547153291</v>
      </c>
      <c r="N27" s="24" t="n">
        <f aca="false">$A$7*Base!O58*(1-Base!$B$31)+Base!O59+C$4*Base!O60+Base!O62+Base!O63</f>
        <v>354668.759805073</v>
      </c>
      <c r="O27" s="24" t="n">
        <f aca="false">$A$7*Base!P58*(1-Base!$B$31)+Base!P59+C$4*Base!P60+Base!P62+Base!P63</f>
        <v>337949.103545355</v>
      </c>
      <c r="P27" s="24" t="n">
        <f aca="false">$A$7*Base!Q58*(1-Base!$B$31)+Base!Q59+C$4*Base!Q60+Base!Q62+Base!Q63</f>
        <v>321370.344686763</v>
      </c>
      <c r="Q27" s="24" t="n">
        <f aca="false">$A$7*Base!R58*(1-Base!$B$31)+Base!R59+C$4*Base!R60+Base!R62+Base!R63</f>
        <v>304924.391952247</v>
      </c>
      <c r="R27" s="24" t="n">
        <f aca="false">$A$7*Base!S58*(1-Base!$B$31)+Base!S59+C$4*Base!S60+Base!S62+Base!S63</f>
        <v>0</v>
      </c>
      <c r="S27" s="24" t="n">
        <f aca="false">$A$7*Base!T58*(1-Base!$B$31)+Base!T59+C$4*Base!T60+Base!T62+Base!T63</f>
        <v>0</v>
      </c>
      <c r="T27" s="24" t="n">
        <f aca="false">$A$7*Base!U58*(1-Base!$B$31)+Base!U59+C$4*Base!U60+Base!U62+Base!U63</f>
        <v>0</v>
      </c>
      <c r="U27" s="24" t="n">
        <f aca="false">$A$7*Base!V58*(1-Base!$B$31)+Base!V59+C$4*Base!V60+Base!V62+Base!V63</f>
        <v>0</v>
      </c>
      <c r="V27" s="24" t="n">
        <f aca="false">$A$7*Base!W58*(1-Base!$B$31)+Base!W59+C$4*Base!W60+Base!W62+Base!W63</f>
        <v>0</v>
      </c>
    </row>
    <row r="28" customFormat="false" ht="15" hidden="false" customHeight="false" outlineLevel="0" collapsed="false">
      <c r="A28" s="0" t="str">
        <f aca="false">"Indtægt "&amp;TEXT($A$7,"0%")&amp;" / investering "&amp;TEXT(D$4,"0%")</f>
        <v>Indtægt 100% / investering 90%</v>
      </c>
      <c r="B28" s="24" t="n">
        <f aca="false">Base!C65*D$4</f>
        <v>-5625000</v>
      </c>
      <c r="C28" s="24" t="n">
        <f aca="false">$A$7*Base!D58*(1-Base!$B$31)+Base!D59+D$4*Base!D60+Base!D62+Base!D63</f>
        <v>538493.646448594</v>
      </c>
      <c r="D28" s="24" t="n">
        <f aca="false">$A$7*Base!E58*(1-Base!$B$31)+Base!E59+D$4*Base!E60+Base!E62+Base!E63</f>
        <v>519407.350904124</v>
      </c>
      <c r="E28" s="24" t="n">
        <f aca="false">$A$7*Base!F58*(1-Base!$B$31)+Base!F59+D$4*Base!F60+Base!F62+Base!F63</f>
        <v>500557.107430043</v>
      </c>
      <c r="F28" s="24" t="n">
        <f aca="false">$A$7*Base!G58*(1-Base!$B$31)+Base!G59+D$4*Base!G60+Base!G62+Base!G63</f>
        <v>481932.781804317</v>
      </c>
      <c r="G28" s="24" t="n">
        <f aca="false">$A$7*Base!H58*(1-Base!$B$31)+Base!H59+D$4*Base!H60+Base!H62+Base!H63</f>
        <v>463524.452535401</v>
      </c>
      <c r="H28" s="24" t="n">
        <f aca="false">$A$7*Base!I58*(1-Base!$B$31)+Base!I59+D$4*Base!I60+Base!I62+Base!I63</f>
        <v>445322.402708004</v>
      </c>
      <c r="I28" s="24" t="n">
        <f aca="false">$A$7*Base!J58*(1-Base!$B$31)+Base!J59+D$4*Base!J60+Base!J62+Base!J63</f>
        <v>427317.112045562</v>
      </c>
      <c r="J28" s="24" t="n">
        <f aca="false">$A$7*Base!K58*(1-Base!$B$31)+Base!K59+D$4*Base!K60+Base!K62+Base!K63</f>
        <v>409499.249182046</v>
      </c>
      <c r="K28" s="24" t="n">
        <f aca="false">$A$7*Base!L58*(1-Base!$B$31)+Base!L59+D$4*Base!L60+Base!L62+Base!L63</f>
        <v>391859.664135911</v>
      </c>
      <c r="L28" s="24" t="n">
        <f aca="false">$A$7*Base!M58*(1-Base!$B$31)+Base!M59+D$4*Base!M60+Base!M62+Base!M63</f>
        <v>374389.380979235</v>
      </c>
      <c r="M28" s="24" t="n">
        <f aca="false">$A$7*Base!N58*(1-Base!$B$31)+Base!N59+D$4*Base!N60+Base!N62+Base!N63</f>
        <v>357079.590695278</v>
      </c>
      <c r="N28" s="24" t="n">
        <f aca="false">$A$7*Base!O58*(1-Base!$B$31)+Base!O59+D$4*Base!O60+Base!O62+Base!O63</f>
        <v>339921.6442179</v>
      </c>
      <c r="O28" s="24" t="n">
        <f aca="false">$A$7*Base!P58*(1-Base!$B$31)+Base!P59+D$4*Base!P60+Base!P62+Base!P63</f>
        <v>322907.045646438</v>
      </c>
      <c r="P28" s="24" t="n">
        <f aca="false">$A$7*Base!Q58*(1-Base!$B$31)+Base!Q59+D$4*Base!Q60+Base!Q62+Base!Q63</f>
        <v>306027.445629868</v>
      </c>
      <c r="Q28" s="24" t="n">
        <f aca="false">$A$7*Base!R58*(1-Base!$B$31)+Base!R59+D$4*Base!R60+Base!R62+Base!R63</f>
        <v>289274.634914214</v>
      </c>
      <c r="R28" s="24" t="n">
        <f aca="false">$A$7*Base!S58*(1-Base!$B$31)+Base!S59+D$4*Base!S60+Base!S62+Base!S63</f>
        <v>0</v>
      </c>
      <c r="S28" s="24" t="n">
        <f aca="false">$A$7*Base!T58*(1-Base!$B$31)+Base!T59+D$4*Base!T60+Base!T62+Base!T63</f>
        <v>0</v>
      </c>
      <c r="T28" s="24" t="n">
        <f aca="false">$A$7*Base!U58*(1-Base!$B$31)+Base!U59+D$4*Base!U60+Base!U62+Base!U63</f>
        <v>0</v>
      </c>
      <c r="U28" s="24" t="n">
        <f aca="false">$A$7*Base!V58*(1-Base!$B$31)+Base!V59+D$4*Base!V60+Base!V62+Base!V63</f>
        <v>0</v>
      </c>
      <c r="V28" s="24" t="n">
        <f aca="false">$A$7*Base!W58*(1-Base!$B$31)+Base!W59+D$4*Base!W60+Base!W62+Base!W63</f>
        <v>0</v>
      </c>
    </row>
    <row r="29" customFormat="false" ht="15" hidden="false" customHeight="false" outlineLevel="0" collapsed="false">
      <c r="A29" s="0" t="str">
        <f aca="false">"Indtægt "&amp;TEXT($A$7,"0%")&amp;" / investering "&amp;TEXT(E$4,"0%")</f>
        <v>Indtægt 100% / investering 100%</v>
      </c>
      <c r="B29" s="24" t="n">
        <f aca="false">Base!C65*E$4</f>
        <v>-6250000</v>
      </c>
      <c r="C29" s="24" t="n">
        <f aca="false">$A$7*Base!D58*(1-Base!$B$31)+Base!D59+E$4*Base!D60+Base!D62+Base!D63</f>
        <v>526633.086448595</v>
      </c>
      <c r="D29" s="24" t="n">
        <f aca="false">$A$7*Base!E58*(1-Base!$B$31)+Base!E59+E$4*Base!E60+Base!E62+Base!E63</f>
        <v>507309.579704124</v>
      </c>
      <c r="E29" s="24" t="n">
        <f aca="false">$A$7*Base!F58*(1-Base!$B$31)+Base!F59+E$4*Base!F60+Base!F62+Base!F63</f>
        <v>488217.380806043</v>
      </c>
      <c r="F29" s="24" t="n">
        <f aca="false">$A$7*Base!G58*(1-Base!$B$31)+Base!G59+E$4*Base!G60+Base!G62+Base!G63</f>
        <v>469346.260647837</v>
      </c>
      <c r="G29" s="24" t="n">
        <f aca="false">$A$7*Base!H58*(1-Base!$B$31)+Base!H59+E$4*Base!H60+Base!H62+Base!H63</f>
        <v>450686.200955791</v>
      </c>
      <c r="H29" s="24" t="n">
        <f aca="false">$A$7*Base!I58*(1-Base!$B$31)+Base!I59+E$4*Base!I60+Base!I62+Base!I63</f>
        <v>432227.386096802</v>
      </c>
      <c r="I29" s="24" t="n">
        <f aca="false">$A$7*Base!J58*(1-Base!$B$31)+Base!J59+E$4*Base!J60+Base!J62+Base!J63</f>
        <v>413960.195102136</v>
      </c>
      <c r="J29" s="24" t="n">
        <f aca="false">$A$7*Base!K58*(1-Base!$B$31)+Base!K59+E$4*Base!K60+Base!K62+Base!K63</f>
        <v>395875.193899752</v>
      </c>
      <c r="K29" s="24" t="n">
        <f aca="false">$A$7*Base!L58*(1-Base!$B$31)+Base!L59+E$4*Base!L60+Base!L62+Base!L63</f>
        <v>377963.127747971</v>
      </c>
      <c r="L29" s="24" t="n">
        <f aca="false">$A$7*Base!M58*(1-Base!$B$31)+Base!M59+E$4*Base!M60+Base!M62+Base!M63</f>
        <v>360214.913863536</v>
      </c>
      <c r="M29" s="24" t="n">
        <f aca="false">$A$7*Base!N58*(1-Base!$B$31)+Base!N59+E$4*Base!N60+Base!N62+Base!N63</f>
        <v>342621.634237265</v>
      </c>
      <c r="N29" s="24" t="n">
        <f aca="false">$A$7*Base!O58*(1-Base!$B$31)+Base!O59+E$4*Base!O60+Base!O62+Base!O63</f>
        <v>325174.528630727</v>
      </c>
      <c r="O29" s="24" t="n">
        <f aca="false">$A$7*Base!P58*(1-Base!$B$31)+Base!P59+E$4*Base!P60+Base!P62+Base!P63</f>
        <v>307864.987747521</v>
      </c>
      <c r="P29" s="24" t="n">
        <f aca="false">$A$7*Base!Q58*(1-Base!$B$31)+Base!Q59+E$4*Base!Q60+Base!Q62+Base!Q63</f>
        <v>290684.546572973</v>
      </c>
      <c r="Q29" s="24" t="n">
        <f aca="false">$A$7*Base!R58*(1-Base!$B$31)+Base!R59+E$4*Base!R60+Base!R62+Base!R63</f>
        <v>273624.877876181</v>
      </c>
      <c r="R29" s="24" t="n">
        <f aca="false">$A$7*Base!S58*(1-Base!$B$31)+Base!S59+E$4*Base!S60+Base!S62+Base!S63</f>
        <v>0</v>
      </c>
      <c r="S29" s="24" t="n">
        <f aca="false">$A$7*Base!T58*(1-Base!$B$31)+Base!T59+E$4*Base!T60+Base!T62+Base!T63</f>
        <v>0</v>
      </c>
      <c r="T29" s="24" t="n">
        <f aca="false">$A$7*Base!U58*(1-Base!$B$31)+Base!U59+E$4*Base!U60+Base!U62+Base!U63</f>
        <v>0</v>
      </c>
      <c r="U29" s="24" t="n">
        <f aca="false">$A$7*Base!V58*(1-Base!$B$31)+Base!V59+E$4*Base!V60+Base!V62+Base!V63</f>
        <v>0</v>
      </c>
      <c r="V29" s="24" t="n">
        <f aca="false">$A$7*Base!W58*(1-Base!$B$31)+Base!W59+E$4*Base!W60+Base!W62+Base!W63</f>
        <v>0</v>
      </c>
    </row>
    <row r="30" customFormat="false" ht="15" hidden="false" customHeight="false" outlineLevel="0" collapsed="false">
      <c r="A30" s="0" t="str">
        <f aca="false">"Indtægt "&amp;TEXT($A$7,"0%")&amp;" / investering "&amp;TEXT(F$4,"0%")</f>
        <v>Indtægt 100% / investering 110%</v>
      </c>
      <c r="B30" s="24" t="n">
        <f aca="false">Base!C65*F$4</f>
        <v>-6875000</v>
      </c>
      <c r="C30" s="24" t="n">
        <f aca="false">$A$7*Base!D58*(1-Base!$B$31)+Base!D59+F$4*Base!D60+Base!D62+Base!D63</f>
        <v>514772.526448594</v>
      </c>
      <c r="D30" s="24" t="n">
        <f aca="false">$A$7*Base!E58*(1-Base!$B$31)+Base!E59+F$4*Base!E60+Base!E62+Base!E63</f>
        <v>495211.808504124</v>
      </c>
      <c r="E30" s="24" t="n">
        <f aca="false">$A$7*Base!F58*(1-Base!$B$31)+Base!F59+F$4*Base!F60+Base!F62+Base!F63</f>
        <v>475877.654182043</v>
      </c>
      <c r="F30" s="24" t="n">
        <f aca="false">$A$7*Base!G58*(1-Base!$B$31)+Base!G59+F$4*Base!G60+Base!G62+Base!G63</f>
        <v>456759.739491357</v>
      </c>
      <c r="G30" s="24" t="n">
        <f aca="false">$A$7*Base!H58*(1-Base!$B$31)+Base!H59+F$4*Base!H60+Base!H62+Base!H63</f>
        <v>437847.949376182</v>
      </c>
      <c r="H30" s="24" t="n">
        <f aca="false">$A$7*Base!I58*(1-Base!$B$31)+Base!I59+F$4*Base!I60+Base!I62+Base!I63</f>
        <v>419132.3694856</v>
      </c>
      <c r="I30" s="24" t="n">
        <f aca="false">$A$7*Base!J58*(1-Base!$B$31)+Base!J59+F$4*Base!J60+Base!J62+Base!J63</f>
        <v>400603.278158711</v>
      </c>
      <c r="J30" s="24" t="n">
        <f aca="false">$A$7*Base!K58*(1-Base!$B$31)+Base!K59+F$4*Base!K60+Base!K62+Base!K63</f>
        <v>382251.138617458</v>
      </c>
      <c r="K30" s="24" t="n">
        <f aca="false">$A$7*Base!L58*(1-Base!$B$31)+Base!L59+F$4*Base!L60+Base!L62+Base!L63</f>
        <v>364066.591360031</v>
      </c>
      <c r="L30" s="24" t="n">
        <f aca="false">$A$7*Base!M58*(1-Base!$B$31)+Base!M59+F$4*Base!M60+Base!M62+Base!M63</f>
        <v>346040.446747837</v>
      </c>
      <c r="M30" s="24" t="n">
        <f aca="false">$A$7*Base!N58*(1-Base!$B$31)+Base!N59+F$4*Base!N60+Base!N62+Base!N63</f>
        <v>328163.677779252</v>
      </c>
      <c r="N30" s="24" t="n">
        <f aca="false">$A$7*Base!O58*(1-Base!$B$31)+Base!O59+F$4*Base!O60+Base!O62+Base!O63</f>
        <v>310427.413043554</v>
      </c>
      <c r="O30" s="24" t="n">
        <f aca="false">$A$7*Base!P58*(1-Base!$B$31)+Base!P59+F$4*Base!P60+Base!P62+Base!P63</f>
        <v>292822.929848604</v>
      </c>
      <c r="P30" s="24" t="n">
        <f aca="false">$A$7*Base!Q58*(1-Base!$B$31)+Base!Q59+F$4*Base!Q60+Base!Q62+Base!Q63</f>
        <v>275341.647516078</v>
      </c>
      <c r="Q30" s="24" t="n">
        <f aca="false">$A$7*Base!R58*(1-Base!$B$31)+Base!R59+F$4*Base!R60+Base!R62+Base!R63</f>
        <v>257975.120838148</v>
      </c>
      <c r="R30" s="24" t="n">
        <f aca="false">$A$7*Base!S58*(1-Base!$B$31)+Base!S59+F$4*Base!S60+Base!S62+Base!S63</f>
        <v>0</v>
      </c>
      <c r="S30" s="24" t="n">
        <f aca="false">$A$7*Base!T58*(1-Base!$B$31)+Base!T59+F$4*Base!T60+Base!T62+Base!T63</f>
        <v>0</v>
      </c>
      <c r="T30" s="24" t="n">
        <f aca="false">$A$7*Base!U58*(1-Base!$B$31)+Base!U59+F$4*Base!U60+Base!U62+Base!U63</f>
        <v>0</v>
      </c>
      <c r="U30" s="24" t="n">
        <f aca="false">$A$7*Base!V58*(1-Base!$B$31)+Base!V59+F$4*Base!V60+Base!V62+Base!V63</f>
        <v>0</v>
      </c>
      <c r="V30" s="24" t="n">
        <f aca="false">$A$7*Base!W58*(1-Base!$B$31)+Base!W59+F$4*Base!W60+Base!W62+Base!W63</f>
        <v>0</v>
      </c>
    </row>
    <row r="31" customFormat="false" ht="15" hidden="false" customHeight="false" outlineLevel="0" collapsed="false">
      <c r="A31" s="0" t="str">
        <f aca="false">"Indtægt "&amp;TEXT($A$7,"0%")&amp;" / investering "&amp;TEXT(G$4,"0%")</f>
        <v>Indtægt 100% / investering 120%</v>
      </c>
      <c r="B31" s="24" t="n">
        <f aca="false">Base!C65*G$4</f>
        <v>-7500000</v>
      </c>
      <c r="C31" s="24" t="n">
        <f aca="false">$A$7*Base!D58*(1-Base!$B$31)+Base!D59+G$4*Base!D60+Base!D62+Base!D63</f>
        <v>502911.966448594</v>
      </c>
      <c r="D31" s="24" t="n">
        <f aca="false">$A$7*Base!E58*(1-Base!$B$31)+Base!E59+G$4*Base!E60+Base!E62+Base!E63</f>
        <v>483114.037304124</v>
      </c>
      <c r="E31" s="24" t="n">
        <f aca="false">$A$7*Base!F58*(1-Base!$B$31)+Base!F59+G$4*Base!F60+Base!F62+Base!F63</f>
        <v>463537.927558043</v>
      </c>
      <c r="F31" s="24" t="n">
        <f aca="false">$A$7*Base!G58*(1-Base!$B$31)+Base!G59+G$4*Base!G60+Base!G62+Base!G63</f>
        <v>444173.218334877</v>
      </c>
      <c r="G31" s="24" t="n">
        <f aca="false">$A$7*Base!H58*(1-Base!$B$31)+Base!H59+G$4*Base!H60+Base!H62+Base!H63</f>
        <v>425009.697796572</v>
      </c>
      <c r="H31" s="24" t="n">
        <f aca="false">$A$7*Base!I58*(1-Base!$B$31)+Base!I59+G$4*Base!I60+Base!I62+Base!I63</f>
        <v>406037.352874398</v>
      </c>
      <c r="I31" s="24" t="n">
        <f aca="false">$A$7*Base!J58*(1-Base!$B$31)+Base!J59+G$4*Base!J60+Base!J62+Base!J63</f>
        <v>387246.361215285</v>
      </c>
      <c r="J31" s="24" t="n">
        <f aca="false">$A$7*Base!K58*(1-Base!$B$31)+Base!K59+G$4*Base!K60+Base!K62+Base!K63</f>
        <v>368627.083335164</v>
      </c>
      <c r="K31" s="24" t="n">
        <f aca="false">$A$7*Base!L58*(1-Base!$B$31)+Base!L59+G$4*Base!L60+Base!L62+Base!L63</f>
        <v>350170.054972091</v>
      </c>
      <c r="L31" s="24" t="n">
        <f aca="false">$A$7*Base!M58*(1-Base!$B$31)+Base!M59+G$4*Base!M60+Base!M62+Base!M63</f>
        <v>331865.979632138</v>
      </c>
      <c r="M31" s="24" t="n">
        <f aca="false">$A$7*Base!N58*(1-Base!$B$31)+Base!N59+G$4*Base!N60+Base!N62+Base!N63</f>
        <v>313705.721321239</v>
      </c>
      <c r="N31" s="24" t="n">
        <f aca="false">$A$7*Base!O58*(1-Base!$B$31)+Base!O59+G$4*Base!O60+Base!O62+Base!O63</f>
        <v>295680.29745638</v>
      </c>
      <c r="O31" s="24" t="n">
        <f aca="false">$A$7*Base!P58*(1-Base!$B$31)+Base!P59+G$4*Base!P60+Base!P62+Base!P63</f>
        <v>277780.871949688</v>
      </c>
      <c r="P31" s="24" t="n">
        <f aca="false">$A$7*Base!Q58*(1-Base!$B$31)+Base!Q59+G$4*Base!Q60+Base!Q62+Base!Q63</f>
        <v>259998.748459182</v>
      </c>
      <c r="Q31" s="24" t="n">
        <f aca="false">$A$7*Base!R58*(1-Base!$B$31)+Base!R59+G$4*Base!R60+Base!R62+Base!R63</f>
        <v>242325.363800115</v>
      </c>
      <c r="R31" s="24" t="n">
        <f aca="false">$A$7*Base!S58*(1-Base!$B$31)+Base!S59+G$4*Base!S60+Base!S62+Base!S63</f>
        <v>0</v>
      </c>
      <c r="S31" s="24" t="n">
        <f aca="false">$A$7*Base!T58*(1-Base!$B$31)+Base!T59+G$4*Base!T60+Base!T62+Base!T63</f>
        <v>0</v>
      </c>
      <c r="T31" s="24" t="n">
        <f aca="false">$A$7*Base!U58*(1-Base!$B$31)+Base!U59+G$4*Base!U60+Base!U62+Base!U63</f>
        <v>0</v>
      </c>
      <c r="U31" s="24" t="n">
        <f aca="false">$A$7*Base!V58*(1-Base!$B$31)+Base!V59+G$4*Base!V60+Base!V62+Base!V63</f>
        <v>0</v>
      </c>
      <c r="V31" s="24" t="n">
        <f aca="false">$A$7*Base!W58*(1-Base!$B$31)+Base!W59+G$4*Base!W60+Base!W62+Base!W63</f>
        <v>0</v>
      </c>
    </row>
    <row r="32" customFormat="false" ht="15" hidden="false" customHeight="false" outlineLevel="0" collapsed="false">
      <c r="A32" s="0" t="str">
        <f aca="false">"Indtægt "&amp;TEXT($A$8,"0%")&amp;" / investering "&amp;TEXT(B$4,"0%")</f>
        <v>Indtægt 115% / investering 60%</v>
      </c>
      <c r="B32" s="24" t="n">
        <f aca="false">Base!C65*B$4</f>
        <v>-3750000</v>
      </c>
      <c r="C32" s="24" t="n">
        <f aca="false">$A$8*Base!D58*(1-Base!$B$31)+Base!D59+B$4*Base!D60+Base!D62+Base!D63</f>
        <v>712822.04182151</v>
      </c>
      <c r="D32" s="24" t="n">
        <f aca="false">$A$8*Base!E58*(1-Base!$B$31)+Base!E59+B$4*Base!E60+Base!E62+Base!E63</f>
        <v>692206.248700406</v>
      </c>
      <c r="E32" s="24" t="n">
        <f aca="false">$A$8*Base!F58*(1-Base!$B$31)+Base!F59+B$4*Base!F60+Base!F62+Base!F63</f>
        <v>671888.799451436</v>
      </c>
      <c r="F32" s="24" t="n">
        <f aca="false">$A$8*Base!G58*(1-Base!$B$31)+Base!G59+B$4*Base!G60+Base!G62+Base!G63</f>
        <v>651858.577313062</v>
      </c>
      <c r="G32" s="24" t="n">
        <f aca="false">$A$8*Base!H58*(1-Base!$B$31)+Base!H59+B$4*Base!H60+Base!H62+Base!H63</f>
        <v>632104.720915719</v>
      </c>
      <c r="H32" s="24" t="n">
        <f aca="false">$A$8*Base!I58*(1-Base!$B$31)+Base!I59+B$4*Base!I60+Base!I62+Base!I63</f>
        <v>612616.615119482</v>
      </c>
      <c r="I32" s="24" t="n">
        <f aca="false">$A$8*Base!J58*(1-Base!$B$31)+Base!J59+B$4*Base!J60+Base!J62+Base!J63</f>
        <v>593383.882105251</v>
      </c>
      <c r="J32" s="24" t="n">
        <f aca="false">$A$8*Base!K58*(1-Base!$B$31)+Base!K59+B$4*Base!K60+Base!K62+Base!K63</f>
        <v>574396.372711053</v>
      </c>
      <c r="K32" s="24" t="n">
        <f aca="false">$A$8*Base!L58*(1-Base!$B$31)+Base!L59+B$4*Base!L60+Base!L62+Base!L63</f>
        <v>555644.158005286</v>
      </c>
      <c r="L32" s="24" t="n">
        <f aca="false">$A$8*Base!M58*(1-Base!$B$31)+Base!M59+B$4*Base!M60+Base!M62+Base!M63</f>
        <v>537117.521088993</v>
      </c>
      <c r="M32" s="24" t="n">
        <f aca="false">$A$8*Base!N58*(1-Base!$B$31)+Base!N59+B$4*Base!N60+Base!N62+Base!N63</f>
        <v>518806.949119473</v>
      </c>
      <c r="N32" s="24" t="n">
        <f aca="false">$A$8*Base!O58*(1-Base!$B$31)+Base!O59+B$4*Base!O60+Base!O62+Base!O63</f>
        <v>500703.125547781</v>
      </c>
      <c r="O32" s="24" t="n">
        <f aca="false">$A$8*Base!P58*(1-Base!$B$31)+Base!P59+B$4*Base!P60+Base!P62+Base!P63</f>
        <v>482796.922562845</v>
      </c>
      <c r="P32" s="24" t="n">
        <f aca="false">$A$8*Base!Q58*(1-Base!$B$31)+Base!Q59+B$4*Base!Q60+Base!Q62+Base!Q63</f>
        <v>465079.393735208</v>
      </c>
      <c r="Q32" s="24" t="n">
        <f aca="false">$A$8*Base!R58*(1-Base!$B$31)+Base!R59+B$4*Base!R60+Base!R62+Base!R63</f>
        <v>447541.766853538</v>
      </c>
      <c r="R32" s="24" t="n">
        <f aca="false">$A$8*Base!S58*(1-Base!$B$31)+Base!S59+B$4*Base!S60+Base!S62+Base!S63</f>
        <v>0</v>
      </c>
      <c r="S32" s="24" t="n">
        <f aca="false">$A$8*Base!T58*(1-Base!$B$31)+Base!T59+B$4*Base!T60+Base!T62+Base!T63</f>
        <v>0</v>
      </c>
      <c r="T32" s="24" t="n">
        <f aca="false">$A$8*Base!U58*(1-Base!$B$31)+Base!U59+B$4*Base!U60+Base!U62+Base!U63</f>
        <v>0</v>
      </c>
      <c r="U32" s="24" t="n">
        <f aca="false">$A$8*Base!V58*(1-Base!$B$31)+Base!V59+B$4*Base!V60+Base!V62+Base!V63</f>
        <v>0</v>
      </c>
      <c r="V32" s="24" t="n">
        <f aca="false">$A$8*Base!W58*(1-Base!$B$31)+Base!W59+B$4*Base!W60+Base!W62+Base!W63</f>
        <v>0</v>
      </c>
    </row>
    <row r="33" customFormat="false" ht="15" hidden="false" customHeight="false" outlineLevel="0" collapsed="false">
      <c r="A33" s="0" t="str">
        <f aca="false">"Indtægt "&amp;TEXT($A$8,"0%")&amp;" / investering "&amp;TEXT(C$4,"0%")</f>
        <v>Indtægt 115% / investering 80%</v>
      </c>
      <c r="B33" s="24" t="n">
        <f aca="false">Base!C65*C$4</f>
        <v>-5000000</v>
      </c>
      <c r="C33" s="24" t="n">
        <f aca="false">$A$8*Base!D58*(1-Base!$B$31)+Base!D59+C$4*Base!D60+Base!D62+Base!D63</f>
        <v>689100.92182151</v>
      </c>
      <c r="D33" s="24" t="n">
        <f aca="false">$A$8*Base!E58*(1-Base!$B$31)+Base!E59+C$4*Base!E60+Base!E62+Base!E63</f>
        <v>668010.706300406</v>
      </c>
      <c r="E33" s="24" t="n">
        <f aca="false">$A$8*Base!F58*(1-Base!$B$31)+Base!F59+C$4*Base!F60+Base!F62+Base!F63</f>
        <v>647209.346203436</v>
      </c>
      <c r="F33" s="24" t="n">
        <f aca="false">$A$8*Base!G58*(1-Base!$B$31)+Base!G59+C$4*Base!G60+Base!G62+Base!G63</f>
        <v>626685.535000102</v>
      </c>
      <c r="G33" s="24" t="n">
        <f aca="false">$A$8*Base!H58*(1-Base!$B$31)+Base!H59+C$4*Base!H60+Base!H62+Base!H63</f>
        <v>606428.2177565</v>
      </c>
      <c r="H33" s="24" t="n">
        <f aca="false">$A$8*Base!I58*(1-Base!$B$31)+Base!I59+C$4*Base!I60+Base!I62+Base!I63</f>
        <v>586426.581897078</v>
      </c>
      <c r="I33" s="24" t="n">
        <f aca="false">$A$8*Base!J58*(1-Base!$B$31)+Base!J59+C$4*Base!J60+Base!J62+Base!J63</f>
        <v>566670.048218399</v>
      </c>
      <c r="J33" s="24" t="n">
        <f aca="false">$A$8*Base!K58*(1-Base!$B$31)+Base!K59+C$4*Base!K60+Base!K62+Base!K63</f>
        <v>547148.262146464</v>
      </c>
      <c r="K33" s="24" t="n">
        <f aca="false">$A$8*Base!L58*(1-Base!$B$31)+Base!L59+C$4*Base!L60+Base!L62+Base!L63</f>
        <v>527851.085229405</v>
      </c>
      <c r="L33" s="24" t="n">
        <f aca="false">$A$8*Base!M58*(1-Base!$B$31)+Base!M59+C$4*Base!M60+Base!M62+Base!M63</f>
        <v>508768.586857594</v>
      </c>
      <c r="M33" s="24" t="n">
        <f aca="false">$A$8*Base!N58*(1-Base!$B$31)+Base!N59+C$4*Base!N60+Base!N62+Base!N63</f>
        <v>489891.036203447</v>
      </c>
      <c r="N33" s="24" t="n">
        <f aca="false">$A$8*Base!O58*(1-Base!$B$31)+Base!O59+C$4*Base!O60+Base!O62+Base!O63</f>
        <v>471208.894373434</v>
      </c>
      <c r="O33" s="24" t="n">
        <f aca="false">$A$8*Base!P58*(1-Base!$B$31)+Base!P59+C$4*Base!P60+Base!P62+Base!P63</f>
        <v>452712.806765011</v>
      </c>
      <c r="P33" s="24" t="n">
        <f aca="false">$A$8*Base!Q58*(1-Base!$B$31)+Base!Q59+C$4*Base!Q60+Base!Q62+Base!Q63</f>
        <v>434393.595621418</v>
      </c>
      <c r="Q33" s="24" t="n">
        <f aca="false">$A$8*Base!R58*(1-Base!$B$31)+Base!R59+C$4*Base!R60+Base!R62+Base!R63</f>
        <v>416242.252777472</v>
      </c>
      <c r="R33" s="24" t="n">
        <f aca="false">$A$8*Base!S58*(1-Base!$B$31)+Base!S59+C$4*Base!S60+Base!S62+Base!S63</f>
        <v>0</v>
      </c>
      <c r="S33" s="24" t="n">
        <f aca="false">$A$8*Base!T58*(1-Base!$B$31)+Base!T59+C$4*Base!T60+Base!T62+Base!T63</f>
        <v>0</v>
      </c>
      <c r="T33" s="24" t="n">
        <f aca="false">$A$8*Base!U58*(1-Base!$B$31)+Base!U59+C$4*Base!U60+Base!U62+Base!U63</f>
        <v>0</v>
      </c>
      <c r="U33" s="24" t="n">
        <f aca="false">$A$8*Base!V58*(1-Base!$B$31)+Base!V59+C$4*Base!V60+Base!V62+Base!V63</f>
        <v>0</v>
      </c>
      <c r="V33" s="24" t="n">
        <f aca="false">$A$8*Base!W58*(1-Base!$B$31)+Base!W59+C$4*Base!W60+Base!W62+Base!W63</f>
        <v>0</v>
      </c>
    </row>
    <row r="34" customFormat="false" ht="15" hidden="false" customHeight="false" outlineLevel="0" collapsed="false">
      <c r="A34" s="0" t="str">
        <f aca="false">"Indtægt "&amp;TEXT($A$8,"0%")&amp;" / investering "&amp;TEXT(D$4,"0%")</f>
        <v>Indtægt 115% / investering 90%</v>
      </c>
      <c r="B34" s="24" t="n">
        <f aca="false">Base!C65*D$4</f>
        <v>-5625000</v>
      </c>
      <c r="C34" s="24" t="n">
        <f aca="false">$A$8*Base!D58*(1-Base!$B$31)+Base!D59+D$4*Base!D60+Base!D62+Base!D63</f>
        <v>677240.361821509</v>
      </c>
      <c r="D34" s="24" t="n">
        <f aca="false">$A$8*Base!E58*(1-Base!$B$31)+Base!E59+D$4*Base!E60+Base!E62+Base!E63</f>
        <v>655912.935100406</v>
      </c>
      <c r="E34" s="24" t="n">
        <f aca="false">$A$8*Base!F58*(1-Base!$B$31)+Base!F59+D$4*Base!F60+Base!F62+Base!F63</f>
        <v>634869.619579436</v>
      </c>
      <c r="F34" s="24" t="n">
        <f aca="false">$A$8*Base!G58*(1-Base!$B$31)+Base!G59+D$4*Base!G60+Base!G62+Base!G63</f>
        <v>614099.013843622</v>
      </c>
      <c r="G34" s="24" t="n">
        <f aca="false">$A$8*Base!H58*(1-Base!$B$31)+Base!H59+D$4*Base!H60+Base!H62+Base!H63</f>
        <v>593589.96617689</v>
      </c>
      <c r="H34" s="24" t="n">
        <f aca="false">$A$8*Base!I58*(1-Base!$B$31)+Base!I59+D$4*Base!I60+Base!I62+Base!I63</f>
        <v>573331.565285876</v>
      </c>
      <c r="I34" s="24" t="n">
        <f aca="false">$A$8*Base!J58*(1-Base!$B$31)+Base!J59+D$4*Base!J60+Base!J62+Base!J63</f>
        <v>553313.131274973</v>
      </c>
      <c r="J34" s="24" t="n">
        <f aca="false">$A$8*Base!K58*(1-Base!$B$31)+Base!K59+D$4*Base!K60+Base!K62+Base!K63</f>
        <v>533524.20686417</v>
      </c>
      <c r="K34" s="24" t="n">
        <f aca="false">$A$8*Base!L58*(1-Base!$B$31)+Base!L59+D$4*Base!L60+Base!L62+Base!L63</f>
        <v>513954.548841465</v>
      </c>
      <c r="L34" s="24" t="n">
        <f aca="false">$A$8*Base!M58*(1-Base!$B$31)+Base!M59+D$4*Base!M60+Base!M62+Base!M63</f>
        <v>494594.119741895</v>
      </c>
      <c r="M34" s="24" t="n">
        <f aca="false">$A$8*Base!N58*(1-Base!$B$31)+Base!N59+D$4*Base!N60+Base!N62+Base!N63</f>
        <v>475433.079745434</v>
      </c>
      <c r="N34" s="24" t="n">
        <f aca="false">$A$8*Base!O58*(1-Base!$B$31)+Base!O59+D$4*Base!O60+Base!O62+Base!O63</f>
        <v>456461.778786261</v>
      </c>
      <c r="O34" s="24" t="n">
        <f aca="false">$A$8*Base!P58*(1-Base!$B$31)+Base!P59+D$4*Base!P60+Base!P62+Base!P63</f>
        <v>437670.748866095</v>
      </c>
      <c r="P34" s="24" t="n">
        <f aca="false">$A$8*Base!Q58*(1-Base!$B$31)+Base!Q59+D$4*Base!Q60+Base!Q62+Base!Q63</f>
        <v>419050.696564523</v>
      </c>
      <c r="Q34" s="24" t="n">
        <f aca="false">$A$8*Base!R58*(1-Base!$B$31)+Base!R59+D$4*Base!R60+Base!R62+Base!R63</f>
        <v>400592.495739439</v>
      </c>
      <c r="R34" s="24" t="n">
        <f aca="false">$A$8*Base!S58*(1-Base!$B$31)+Base!S59+D$4*Base!S60+Base!S62+Base!S63</f>
        <v>0</v>
      </c>
      <c r="S34" s="24" t="n">
        <f aca="false">$A$8*Base!T58*(1-Base!$B$31)+Base!T59+D$4*Base!T60+Base!T62+Base!T63</f>
        <v>0</v>
      </c>
      <c r="T34" s="24" t="n">
        <f aca="false">$A$8*Base!U58*(1-Base!$B$31)+Base!U59+D$4*Base!U60+Base!U62+Base!U63</f>
        <v>0</v>
      </c>
      <c r="U34" s="24" t="n">
        <f aca="false">$A$8*Base!V58*(1-Base!$B$31)+Base!V59+D$4*Base!V60+Base!V62+Base!V63</f>
        <v>0</v>
      </c>
      <c r="V34" s="24" t="n">
        <f aca="false">$A$8*Base!W58*(1-Base!$B$31)+Base!W59+D$4*Base!W60+Base!W62+Base!W63</f>
        <v>0</v>
      </c>
    </row>
    <row r="35" customFormat="false" ht="15" hidden="false" customHeight="false" outlineLevel="0" collapsed="false">
      <c r="A35" s="0" t="str">
        <f aca="false">"Indtægt "&amp;TEXT($A$8,"0%")&amp;" / investering "&amp;TEXT(E$4,"0%")</f>
        <v>Indtægt 115% / investering 100%</v>
      </c>
      <c r="B35" s="24" t="n">
        <f aca="false">Base!C65*E$4</f>
        <v>-6250000</v>
      </c>
      <c r="C35" s="24" t="n">
        <f aca="false">$A$8*Base!D58*(1-Base!$B$31)+Base!D59+E$4*Base!D60+Base!D62+Base!D63</f>
        <v>665379.80182151</v>
      </c>
      <c r="D35" s="24" t="n">
        <f aca="false">$A$8*Base!E58*(1-Base!$B$31)+Base!E59+E$4*Base!E60+Base!E62+Base!E63</f>
        <v>643815.163900406</v>
      </c>
      <c r="E35" s="24" t="n">
        <f aca="false">$A$8*Base!F58*(1-Base!$B$31)+Base!F59+E$4*Base!F60+Base!F62+Base!F63</f>
        <v>622529.892955436</v>
      </c>
      <c r="F35" s="24" t="n">
        <f aca="false">$A$8*Base!G58*(1-Base!$B$31)+Base!G59+E$4*Base!G60+Base!G62+Base!G63</f>
        <v>601512.492687142</v>
      </c>
      <c r="G35" s="24" t="n">
        <f aca="false">$A$8*Base!H58*(1-Base!$B$31)+Base!H59+E$4*Base!H60+Base!H62+Base!H63</f>
        <v>580751.714597281</v>
      </c>
      <c r="H35" s="24" t="n">
        <f aca="false">$A$8*Base!I58*(1-Base!$B$31)+Base!I59+E$4*Base!I60+Base!I62+Base!I63</f>
        <v>560236.548674674</v>
      </c>
      <c r="I35" s="24" t="n">
        <f aca="false">$A$8*Base!J58*(1-Base!$B$31)+Base!J59+E$4*Base!J60+Base!J62+Base!J63</f>
        <v>539956.214331547</v>
      </c>
      <c r="J35" s="24" t="n">
        <f aca="false">$A$8*Base!K58*(1-Base!$B$31)+Base!K59+E$4*Base!K60+Base!K62+Base!K63</f>
        <v>519900.151581875</v>
      </c>
      <c r="K35" s="24" t="n">
        <f aca="false">$A$8*Base!L58*(1-Base!$B$31)+Base!L59+E$4*Base!L60+Base!L62+Base!L63</f>
        <v>500058.012453525</v>
      </c>
      <c r="L35" s="24" t="n">
        <f aca="false">$A$8*Base!M58*(1-Base!$B$31)+Base!M59+E$4*Base!M60+Base!M62+Base!M63</f>
        <v>480419.652626196</v>
      </c>
      <c r="M35" s="24" t="n">
        <f aca="false">$A$8*Base!N58*(1-Base!$B$31)+Base!N59+E$4*Base!N60+Base!N62+Base!N63</f>
        <v>460975.123287421</v>
      </c>
      <c r="N35" s="24" t="n">
        <f aca="false">$A$8*Base!O58*(1-Base!$B$31)+Base!O59+E$4*Base!O60+Base!O62+Base!O63</f>
        <v>441714.663199088</v>
      </c>
      <c r="O35" s="24" t="n">
        <f aca="false">$A$8*Base!P58*(1-Base!$B$31)+Base!P59+E$4*Base!P60+Base!P62+Base!P63</f>
        <v>422628.690967178</v>
      </c>
      <c r="P35" s="24" t="n">
        <f aca="false">$A$8*Base!Q58*(1-Base!$B$31)+Base!Q59+E$4*Base!Q60+Base!Q62+Base!Q63</f>
        <v>403707.797507628</v>
      </c>
      <c r="Q35" s="24" t="n">
        <f aca="false">$A$8*Base!R58*(1-Base!$B$31)+Base!R59+E$4*Base!R60+Base!R62+Base!R63</f>
        <v>384942.738701406</v>
      </c>
      <c r="R35" s="24" t="n">
        <f aca="false">$A$8*Base!S58*(1-Base!$B$31)+Base!S59+E$4*Base!S60+Base!S62+Base!S63</f>
        <v>0</v>
      </c>
      <c r="S35" s="24" t="n">
        <f aca="false">$A$8*Base!T58*(1-Base!$B$31)+Base!T59+E$4*Base!T60+Base!T62+Base!T63</f>
        <v>0</v>
      </c>
      <c r="T35" s="24" t="n">
        <f aca="false">$A$8*Base!U58*(1-Base!$B$31)+Base!U59+E$4*Base!U60+Base!U62+Base!U63</f>
        <v>0</v>
      </c>
      <c r="U35" s="24" t="n">
        <f aca="false">$A$8*Base!V58*(1-Base!$B$31)+Base!V59+E$4*Base!V60+Base!V62+Base!V63</f>
        <v>0</v>
      </c>
      <c r="V35" s="24" t="n">
        <f aca="false">$A$8*Base!W58*(1-Base!$B$31)+Base!W59+E$4*Base!W60+Base!W62+Base!W63</f>
        <v>0</v>
      </c>
    </row>
    <row r="36" customFormat="false" ht="15" hidden="false" customHeight="false" outlineLevel="0" collapsed="false">
      <c r="A36" s="0" t="str">
        <f aca="false">"Indtægt "&amp;TEXT($A$8,"0%")&amp;" / investering "&amp;TEXT(F$4,"0%")</f>
        <v>Indtægt 115% / investering 110%</v>
      </c>
      <c r="B36" s="24" t="n">
        <f aca="false">Base!C65*F$4</f>
        <v>-6875000</v>
      </c>
      <c r="C36" s="24" t="n">
        <f aca="false">$A$8*Base!D58*(1-Base!$B$31)+Base!D59+F$4*Base!D60+Base!D62+Base!D63</f>
        <v>653519.241821509</v>
      </c>
      <c r="D36" s="24" t="n">
        <f aca="false">$A$8*Base!E58*(1-Base!$B$31)+Base!E59+F$4*Base!E60+Base!E62+Base!E63</f>
        <v>631717.392700406</v>
      </c>
      <c r="E36" s="24" t="n">
        <f aca="false">$A$8*Base!F58*(1-Base!$B$31)+Base!F59+F$4*Base!F60+Base!F62+Base!F63</f>
        <v>610190.166331436</v>
      </c>
      <c r="F36" s="24" t="n">
        <f aca="false">$A$8*Base!G58*(1-Base!$B$31)+Base!G59+F$4*Base!G60+Base!G62+Base!G63</f>
        <v>588925.971530662</v>
      </c>
      <c r="G36" s="24" t="n">
        <f aca="false">$A$8*Base!H58*(1-Base!$B$31)+Base!H59+F$4*Base!H60+Base!H62+Base!H63</f>
        <v>567913.463017671</v>
      </c>
      <c r="H36" s="24" t="n">
        <f aca="false">$A$8*Base!I58*(1-Base!$B$31)+Base!I59+F$4*Base!I60+Base!I62+Base!I63</f>
        <v>547141.532063472</v>
      </c>
      <c r="I36" s="24" t="n">
        <f aca="false">$A$8*Base!J58*(1-Base!$B$31)+Base!J59+F$4*Base!J60+Base!J62+Base!J63</f>
        <v>526599.297388122</v>
      </c>
      <c r="J36" s="24" t="n">
        <f aca="false">$A$8*Base!K58*(1-Base!$B$31)+Base!K59+F$4*Base!K60+Base!K62+Base!K63</f>
        <v>506276.096299581</v>
      </c>
      <c r="K36" s="24" t="n">
        <f aca="false">$A$8*Base!L58*(1-Base!$B$31)+Base!L59+F$4*Base!L60+Base!L62+Base!L63</f>
        <v>486161.476065585</v>
      </c>
      <c r="L36" s="24" t="n">
        <f aca="false">$A$8*Base!M58*(1-Base!$B$31)+Base!M59+F$4*Base!M60+Base!M62+Base!M63</f>
        <v>466245.185510497</v>
      </c>
      <c r="M36" s="24" t="n">
        <f aca="false">$A$8*Base!N58*(1-Base!$B$31)+Base!N59+F$4*Base!N60+Base!N62+Base!N63</f>
        <v>446517.166829408</v>
      </c>
      <c r="N36" s="24" t="n">
        <f aca="false">$A$8*Base!O58*(1-Base!$B$31)+Base!O59+F$4*Base!O60+Base!O62+Base!O63</f>
        <v>426967.547611914</v>
      </c>
      <c r="O36" s="24" t="n">
        <f aca="false">$A$8*Base!P58*(1-Base!$B$31)+Base!P59+F$4*Base!P60+Base!P62+Base!P63</f>
        <v>407586.633068261</v>
      </c>
      <c r="P36" s="24" t="n">
        <f aca="false">$A$8*Base!Q58*(1-Base!$B$31)+Base!Q59+F$4*Base!Q60+Base!Q62+Base!Q63</f>
        <v>388364.898450733</v>
      </c>
      <c r="Q36" s="24" t="n">
        <f aca="false">$A$8*Base!R58*(1-Base!$B$31)+Base!R59+F$4*Base!R60+Base!R62+Base!R63</f>
        <v>369292.981663373</v>
      </c>
      <c r="R36" s="24" t="n">
        <f aca="false">$A$8*Base!S58*(1-Base!$B$31)+Base!S59+F$4*Base!S60+Base!S62+Base!S63</f>
        <v>0</v>
      </c>
      <c r="S36" s="24" t="n">
        <f aca="false">$A$8*Base!T58*(1-Base!$B$31)+Base!T59+F$4*Base!T60+Base!T62+Base!T63</f>
        <v>0</v>
      </c>
      <c r="T36" s="24" t="n">
        <f aca="false">$A$8*Base!U58*(1-Base!$B$31)+Base!U59+F$4*Base!U60+Base!U62+Base!U63</f>
        <v>0</v>
      </c>
      <c r="U36" s="24" t="n">
        <f aca="false">$A$8*Base!V58*(1-Base!$B$31)+Base!V59+F$4*Base!V60+Base!V62+Base!V63</f>
        <v>0</v>
      </c>
      <c r="V36" s="24" t="n">
        <f aca="false">$A$8*Base!W58*(1-Base!$B$31)+Base!W59+F$4*Base!W60+Base!W62+Base!W63</f>
        <v>0</v>
      </c>
    </row>
    <row r="37" customFormat="false" ht="15" hidden="false" customHeight="false" outlineLevel="0" collapsed="false">
      <c r="A37" s="0" t="str">
        <f aca="false">"Indtægt "&amp;TEXT($A$8,"0%")&amp;" / investering "&amp;TEXT(G$4,"0%")</f>
        <v>Indtægt 115% / investering 120%</v>
      </c>
      <c r="B37" s="24" t="n">
        <f aca="false">Base!C65*G$4</f>
        <v>-7500000</v>
      </c>
      <c r="C37" s="24" t="n">
        <f aca="false">$A$8*Base!D58*(1-Base!$B$31)+Base!D59+G$4*Base!D60+Base!D62+Base!D63</f>
        <v>641658.68182151</v>
      </c>
      <c r="D37" s="24" t="n">
        <f aca="false">$A$8*Base!E58*(1-Base!$B$31)+Base!E59+G$4*Base!E60+Base!E62+Base!E63</f>
        <v>619619.621500406</v>
      </c>
      <c r="E37" s="24" t="n">
        <f aca="false">$A$8*Base!F58*(1-Base!$B$31)+Base!F59+G$4*Base!F60+Base!F62+Base!F63</f>
        <v>597850.439707436</v>
      </c>
      <c r="F37" s="24" t="n">
        <f aca="false">$A$8*Base!G58*(1-Base!$B$31)+Base!G59+G$4*Base!G60+Base!G62+Base!G63</f>
        <v>576339.450374182</v>
      </c>
      <c r="G37" s="24" t="n">
        <f aca="false">$A$8*Base!H58*(1-Base!$B$31)+Base!H59+G$4*Base!H60+Base!H62+Base!H63</f>
        <v>555075.211438061</v>
      </c>
      <c r="H37" s="24" t="n">
        <f aca="false">$A$8*Base!I58*(1-Base!$B$31)+Base!I59+G$4*Base!I60+Base!I62+Base!I63</f>
        <v>534046.515452271</v>
      </c>
      <c r="I37" s="24" t="n">
        <f aca="false">$A$8*Base!J58*(1-Base!$B$31)+Base!J59+G$4*Base!J60+Base!J62+Base!J63</f>
        <v>513242.380444696</v>
      </c>
      <c r="J37" s="24" t="n">
        <f aca="false">$A$8*Base!K58*(1-Base!$B$31)+Base!K59+G$4*Base!K60+Base!K62+Base!K63</f>
        <v>492652.041017287</v>
      </c>
      <c r="K37" s="24" t="n">
        <f aca="false">$A$8*Base!L58*(1-Base!$B$31)+Base!L59+G$4*Base!L60+Base!L62+Base!L63</f>
        <v>472264.939677645</v>
      </c>
      <c r="L37" s="24" t="n">
        <f aca="false">$A$8*Base!M58*(1-Base!$B$31)+Base!M59+G$4*Base!M60+Base!M62+Base!M63</f>
        <v>452070.718394798</v>
      </c>
      <c r="M37" s="24" t="n">
        <f aca="false">$A$8*Base!N58*(1-Base!$B$31)+Base!N59+G$4*Base!N60+Base!N62+Base!N63</f>
        <v>432059.210371395</v>
      </c>
      <c r="N37" s="24" t="n">
        <f aca="false">$A$8*Base!O58*(1-Base!$B$31)+Base!O59+G$4*Base!O60+Base!O62+Base!O63</f>
        <v>412220.432024741</v>
      </c>
      <c r="O37" s="24" t="n">
        <f aca="false">$A$8*Base!P58*(1-Base!$B$31)+Base!P59+G$4*Base!P60+Base!P62+Base!P63</f>
        <v>392544.575169344</v>
      </c>
      <c r="P37" s="24" t="n">
        <f aca="false">$A$8*Base!Q58*(1-Base!$B$31)+Base!Q59+G$4*Base!Q60+Base!Q62+Base!Q63</f>
        <v>373021.999393838</v>
      </c>
      <c r="Q37" s="24" t="n">
        <f aca="false">$A$8*Base!R58*(1-Base!$B$31)+Base!R59+G$4*Base!R60+Base!R62+Base!R63</f>
        <v>353643.22462534</v>
      </c>
      <c r="R37" s="24" t="n">
        <f aca="false">$A$8*Base!S58*(1-Base!$B$31)+Base!S59+G$4*Base!S60+Base!S62+Base!S63</f>
        <v>0</v>
      </c>
      <c r="S37" s="24" t="n">
        <f aca="false">$A$8*Base!T58*(1-Base!$B$31)+Base!T59+G$4*Base!T60+Base!T62+Base!T63</f>
        <v>0</v>
      </c>
      <c r="T37" s="24" t="n">
        <f aca="false">$A$8*Base!U58*(1-Base!$B$31)+Base!U59+G$4*Base!U60+Base!U62+Base!U63</f>
        <v>0</v>
      </c>
      <c r="U37" s="24" t="n">
        <f aca="false">$A$8*Base!V58*(1-Base!$B$31)+Base!V59+G$4*Base!V60+Base!V62+Base!V63</f>
        <v>0</v>
      </c>
      <c r="V37" s="24" t="n">
        <f aca="false">$A$8*Base!W58*(1-Base!$B$31)+Base!W59+G$4*Base!W60+Base!W62+Base!W63</f>
        <v>0</v>
      </c>
    </row>
    <row r="38" customFormat="false" ht="15" hidden="false" customHeight="false" outlineLevel="0" collapsed="false">
      <c r="A38" s="0" t="str">
        <f aca="false">"Indtægt "&amp;TEXT($A$9,"0%")&amp;" / investering "&amp;TEXT(B$4,"0%")</f>
        <v>Indtægt 130% / investering 60%</v>
      </c>
      <c r="B38" s="24" t="n">
        <f aca="false">Base!C65*B$4</f>
        <v>-3750000</v>
      </c>
      <c r="C38" s="24" t="n">
        <f aca="false">$A$9*Base!D58*(1-Base!$B$31)+Base!D59+B$4*Base!D60+Base!D62+Base!D63</f>
        <v>851568.757194424</v>
      </c>
      <c r="D38" s="24" t="n">
        <f aca="false">$A$9*Base!E58*(1-Base!$B$31)+Base!E59+B$4*Base!E60+Base!E62+Base!E63</f>
        <v>828711.832896688</v>
      </c>
      <c r="E38" s="24" t="n">
        <f aca="false">$A$9*Base!F58*(1-Base!$B$31)+Base!F59+B$4*Base!F60+Base!F62+Base!F63</f>
        <v>806201.31160083</v>
      </c>
      <c r="F38" s="24" t="n">
        <f aca="false">$A$9*Base!G58*(1-Base!$B$31)+Base!G59+B$4*Base!G60+Base!G62+Base!G63</f>
        <v>784024.809352368</v>
      </c>
      <c r="G38" s="24" t="n">
        <f aca="false">$A$9*Base!H58*(1-Base!$B$31)+Base!H59+B$4*Base!H60+Base!H62+Base!H63</f>
        <v>762170.234557209</v>
      </c>
      <c r="H38" s="24" t="n">
        <f aca="false">$A$9*Base!I58*(1-Base!$B$31)+Base!I59+B$4*Base!I60+Base!I62+Base!I63</f>
        <v>740625.777697354</v>
      </c>
      <c r="I38" s="24" t="n">
        <f aca="false">$A$9*Base!J58*(1-Base!$B$31)+Base!J59+B$4*Base!J60+Base!J62+Base!J63</f>
        <v>719379.901334662</v>
      </c>
      <c r="J38" s="24" t="n">
        <f aca="false">$A$9*Base!K58*(1-Base!$B$31)+Base!K59+B$4*Base!K60+Base!K62+Base!K63</f>
        <v>698421.330393176</v>
      </c>
      <c r="K38" s="24" t="n">
        <f aca="false">$A$9*Base!L58*(1-Base!$B$31)+Base!L59+B$4*Base!L60+Base!L62+Base!L63</f>
        <v>677739.04271084</v>
      </c>
      <c r="L38" s="24" t="n">
        <f aca="false">$A$9*Base!M58*(1-Base!$B$31)+Base!M59+B$4*Base!M60+Base!M62+Base!M63</f>
        <v>657322.259851653</v>
      </c>
      <c r="M38" s="24" t="n">
        <f aca="false">$A$9*Base!N58*(1-Base!$B$31)+Base!N59+B$4*Base!N60+Base!N62+Base!N63</f>
        <v>637160.438169629</v>
      </c>
      <c r="N38" s="24" t="n">
        <f aca="false">$A$9*Base!O58*(1-Base!$B$31)+Base!O59+B$4*Base!O60+Base!O62+Base!O63</f>
        <v>617243.260116141</v>
      </c>
      <c r="O38" s="24" t="n">
        <f aca="false">$A$9*Base!P58*(1-Base!$B$31)+Base!P59+B$4*Base!P60+Base!P62+Base!P63</f>
        <v>597560.625782502</v>
      </c>
      <c r="P38" s="24" t="n">
        <f aca="false">$A$9*Base!Q58*(1-Base!$B$31)+Base!Q59+B$4*Base!Q60+Base!Q62+Base!Q63</f>
        <v>578102.644669864</v>
      </c>
      <c r="Q38" s="24" t="n">
        <f aca="false">$A$9*Base!R58*(1-Base!$B$31)+Base!R59+B$4*Base!R60+Base!R62+Base!R63</f>
        <v>558859.627678763</v>
      </c>
      <c r="R38" s="24" t="n">
        <f aca="false">$A$9*Base!S58*(1-Base!$B$31)+Base!S59+B$4*Base!S60+Base!S62+Base!S63</f>
        <v>0</v>
      </c>
      <c r="S38" s="24" t="n">
        <f aca="false">$A$9*Base!T58*(1-Base!$B$31)+Base!T59+B$4*Base!T60+Base!T62+Base!T63</f>
        <v>0</v>
      </c>
      <c r="T38" s="24" t="n">
        <f aca="false">$A$9*Base!U58*(1-Base!$B$31)+Base!U59+B$4*Base!U60+Base!U62+Base!U63</f>
        <v>0</v>
      </c>
      <c r="U38" s="24" t="n">
        <f aca="false">$A$9*Base!V58*(1-Base!$B$31)+Base!V59+B$4*Base!V60+Base!V62+Base!V63</f>
        <v>0</v>
      </c>
      <c r="V38" s="24" t="n">
        <f aca="false">$A$9*Base!W58*(1-Base!$B$31)+Base!W59+B$4*Base!W60+Base!W62+Base!W63</f>
        <v>0</v>
      </c>
    </row>
    <row r="39" customFormat="false" ht="15" hidden="false" customHeight="false" outlineLevel="0" collapsed="false">
      <c r="A39" s="0" t="str">
        <f aca="false">"Indtægt "&amp;TEXT($A$9,"0%")&amp;" / investering "&amp;TEXT(C$4,"0%")</f>
        <v>Indtægt 130% / investering 80%</v>
      </c>
      <c r="B39" s="24" t="n">
        <f aca="false">Base!C65*C$4</f>
        <v>-5000000</v>
      </c>
      <c r="C39" s="24" t="n">
        <f aca="false">$A$9*Base!D58*(1-Base!$B$31)+Base!D59+C$4*Base!D60+Base!D62+Base!D63</f>
        <v>827847.637194424</v>
      </c>
      <c r="D39" s="24" t="n">
        <f aca="false">$A$9*Base!E58*(1-Base!$B$31)+Base!E59+C$4*Base!E60+Base!E62+Base!E63</f>
        <v>804516.290496688</v>
      </c>
      <c r="E39" s="24" t="n">
        <f aca="false">$A$9*Base!F58*(1-Base!$B$31)+Base!F59+C$4*Base!F60+Base!F62+Base!F63</f>
        <v>781521.85835283</v>
      </c>
      <c r="F39" s="24" t="n">
        <f aca="false">$A$9*Base!G58*(1-Base!$B$31)+Base!G59+C$4*Base!G60+Base!G62+Base!G63</f>
        <v>758851.767039408</v>
      </c>
      <c r="G39" s="24" t="n">
        <f aca="false">$A$9*Base!H58*(1-Base!$B$31)+Base!H59+C$4*Base!H60+Base!H62+Base!H63</f>
        <v>736493.73139799</v>
      </c>
      <c r="H39" s="24" t="n">
        <f aca="false">$A$9*Base!I58*(1-Base!$B$31)+Base!I59+C$4*Base!I60+Base!I62+Base!I63</f>
        <v>714435.744474951</v>
      </c>
      <c r="I39" s="24" t="n">
        <f aca="false">$A$9*Base!J58*(1-Base!$B$31)+Base!J59+C$4*Base!J60+Base!J62+Base!J63</f>
        <v>692666.06744781</v>
      </c>
      <c r="J39" s="24" t="n">
        <f aca="false">$A$9*Base!K58*(1-Base!$B$31)+Base!K59+C$4*Base!K60+Base!K62+Base!K63</f>
        <v>671173.219828587</v>
      </c>
      <c r="K39" s="24" t="n">
        <f aca="false">$A$9*Base!L58*(1-Base!$B$31)+Base!L59+C$4*Base!L60+Base!L62+Base!L63</f>
        <v>649945.969934959</v>
      </c>
      <c r="L39" s="24" t="n">
        <f aca="false">$A$9*Base!M58*(1-Base!$B$31)+Base!M59+C$4*Base!M60+Base!M62+Base!M63</f>
        <v>628973.325620255</v>
      </c>
      <c r="M39" s="24" t="n">
        <f aca="false">$A$9*Base!N58*(1-Base!$B$31)+Base!N59+C$4*Base!N60+Base!N62+Base!N63</f>
        <v>608244.525253603</v>
      </c>
      <c r="N39" s="24" t="n">
        <f aca="false">$A$9*Base!O58*(1-Base!$B$31)+Base!O59+C$4*Base!O60+Base!O62+Base!O63</f>
        <v>587749.028941795</v>
      </c>
      <c r="O39" s="24" t="n">
        <f aca="false">$A$9*Base!P58*(1-Base!$B$31)+Base!P59+C$4*Base!P60+Base!P62+Base!P63</f>
        <v>567476.509984668</v>
      </c>
      <c r="P39" s="24" t="n">
        <f aca="false">$A$9*Base!Q58*(1-Base!$B$31)+Base!Q59+C$4*Base!Q60+Base!Q62+Base!Q63</f>
        <v>547416.846556074</v>
      </c>
      <c r="Q39" s="24" t="n">
        <f aca="false">$A$9*Base!R58*(1-Base!$B$31)+Base!R59+C$4*Base!R60+Base!R62+Base!R63</f>
        <v>527560.113602697</v>
      </c>
      <c r="R39" s="24" t="n">
        <f aca="false">$A$9*Base!S58*(1-Base!$B$31)+Base!S59+C$4*Base!S60+Base!S62+Base!S63</f>
        <v>0</v>
      </c>
      <c r="S39" s="24" t="n">
        <f aca="false">$A$9*Base!T58*(1-Base!$B$31)+Base!T59+C$4*Base!T60+Base!T62+Base!T63</f>
        <v>0</v>
      </c>
      <c r="T39" s="24" t="n">
        <f aca="false">$A$9*Base!U58*(1-Base!$B$31)+Base!U59+C$4*Base!U60+Base!U62+Base!U63</f>
        <v>0</v>
      </c>
      <c r="U39" s="24" t="n">
        <f aca="false">$A$9*Base!V58*(1-Base!$B$31)+Base!V59+C$4*Base!V60+Base!V62+Base!V63</f>
        <v>0</v>
      </c>
      <c r="V39" s="24" t="n">
        <f aca="false">$A$9*Base!W58*(1-Base!$B$31)+Base!W59+C$4*Base!W60+Base!W62+Base!W63</f>
        <v>0</v>
      </c>
    </row>
    <row r="40" customFormat="false" ht="15" hidden="false" customHeight="false" outlineLevel="0" collapsed="false">
      <c r="A40" s="0" t="str">
        <f aca="false">"Indtægt "&amp;TEXT($A$9,"0%")&amp;" / investering "&amp;TEXT(D$4,"0%")</f>
        <v>Indtægt 130% / investering 90%</v>
      </c>
      <c r="B40" s="24" t="n">
        <f aca="false">Base!C65*D$4</f>
        <v>-5625000</v>
      </c>
      <c r="C40" s="24" t="n">
        <f aca="false">$A$9*Base!D58*(1-Base!$B$31)+Base!D59+D$4*Base!D60+Base!D62+Base!D63</f>
        <v>815987.077194424</v>
      </c>
      <c r="D40" s="24" t="n">
        <f aca="false">$A$9*Base!E58*(1-Base!$B$31)+Base!E59+D$4*Base!E60+Base!E62+Base!E63</f>
        <v>792418.519296688</v>
      </c>
      <c r="E40" s="24" t="n">
        <f aca="false">$A$9*Base!F58*(1-Base!$B$31)+Base!F59+D$4*Base!F60+Base!F62+Base!F63</f>
        <v>769182.13172883</v>
      </c>
      <c r="F40" s="24" t="n">
        <f aca="false">$A$9*Base!G58*(1-Base!$B$31)+Base!G59+D$4*Base!G60+Base!G62+Base!G63</f>
        <v>746265.245882928</v>
      </c>
      <c r="G40" s="24" t="n">
        <f aca="false">$A$9*Base!H58*(1-Base!$B$31)+Base!H59+D$4*Base!H60+Base!H62+Base!H63</f>
        <v>723655.47981838</v>
      </c>
      <c r="H40" s="24" t="n">
        <f aca="false">$A$9*Base!I58*(1-Base!$B$31)+Base!I59+D$4*Base!I60+Base!I62+Base!I63</f>
        <v>701340.727863749</v>
      </c>
      <c r="I40" s="24" t="n">
        <f aca="false">$A$9*Base!J58*(1-Base!$B$31)+Base!J59+D$4*Base!J60+Base!J62+Base!J63</f>
        <v>679309.150504384</v>
      </c>
      <c r="J40" s="24" t="n">
        <f aca="false">$A$9*Base!K58*(1-Base!$B$31)+Base!K59+D$4*Base!K60+Base!K62+Base!K63</f>
        <v>657549.164546293</v>
      </c>
      <c r="K40" s="24" t="n">
        <f aca="false">$A$9*Base!L58*(1-Base!$B$31)+Base!L59+D$4*Base!L60+Base!L62+Base!L63</f>
        <v>636049.433547019</v>
      </c>
      <c r="L40" s="24" t="n">
        <f aca="false">$A$9*Base!M58*(1-Base!$B$31)+Base!M59+D$4*Base!M60+Base!M62+Base!M63</f>
        <v>614798.858504556</v>
      </c>
      <c r="M40" s="24" t="n">
        <f aca="false">$A$9*Base!N58*(1-Base!$B$31)+Base!N59+D$4*Base!N60+Base!N62+Base!N63</f>
        <v>593786.56879559</v>
      </c>
      <c r="N40" s="24" t="n">
        <f aca="false">$A$9*Base!O58*(1-Base!$B$31)+Base!O59+D$4*Base!O60+Base!O62+Base!O63</f>
        <v>573001.913354622</v>
      </c>
      <c r="O40" s="24" t="n">
        <f aca="false">$A$9*Base!P58*(1-Base!$B$31)+Base!P59+D$4*Base!P60+Base!P62+Base!P63</f>
        <v>552434.452085751</v>
      </c>
      <c r="P40" s="24" t="n">
        <f aca="false">$A$9*Base!Q58*(1-Base!$B$31)+Base!Q59+D$4*Base!Q60+Base!Q62+Base!Q63</f>
        <v>532073.947499179</v>
      </c>
      <c r="Q40" s="24" t="n">
        <f aca="false">$A$9*Base!R58*(1-Base!$B$31)+Base!R59+D$4*Base!R60+Base!R62+Base!R63</f>
        <v>511910.356564664</v>
      </c>
      <c r="R40" s="24" t="n">
        <f aca="false">$A$9*Base!S58*(1-Base!$B$31)+Base!S59+D$4*Base!S60+Base!S62+Base!S63</f>
        <v>0</v>
      </c>
      <c r="S40" s="24" t="n">
        <f aca="false">$A$9*Base!T58*(1-Base!$B$31)+Base!T59+D$4*Base!T60+Base!T62+Base!T63</f>
        <v>0</v>
      </c>
      <c r="T40" s="24" t="n">
        <f aca="false">$A$9*Base!U58*(1-Base!$B$31)+Base!U59+D$4*Base!U60+Base!U62+Base!U63</f>
        <v>0</v>
      </c>
      <c r="U40" s="24" t="n">
        <f aca="false">$A$9*Base!V58*(1-Base!$B$31)+Base!V59+D$4*Base!V60+Base!V62+Base!V63</f>
        <v>0</v>
      </c>
      <c r="V40" s="24" t="n">
        <f aca="false">$A$9*Base!W58*(1-Base!$B$31)+Base!W59+D$4*Base!W60+Base!W62+Base!W63</f>
        <v>0</v>
      </c>
    </row>
    <row r="41" customFormat="false" ht="15" hidden="false" customHeight="false" outlineLevel="0" collapsed="false">
      <c r="A41" s="0" t="str">
        <f aca="false">"Indtægt "&amp;TEXT($A$9,"0%")&amp;" / investering "&amp;TEXT(E$4,"0%")</f>
        <v>Indtægt 130% / investering 100%</v>
      </c>
      <c r="B41" s="24" t="n">
        <f aca="false">Base!C65*E$4</f>
        <v>-6250000</v>
      </c>
      <c r="C41" s="24" t="n">
        <f aca="false">$A$9*Base!D58*(1-Base!$B$31)+Base!D59+E$4*Base!D60+Base!D62+Base!D63</f>
        <v>804126.517194424</v>
      </c>
      <c r="D41" s="24" t="n">
        <f aca="false">$A$9*Base!E58*(1-Base!$B$31)+Base!E59+E$4*Base!E60+Base!E62+Base!E63</f>
        <v>780320.748096688</v>
      </c>
      <c r="E41" s="24" t="n">
        <f aca="false">$A$9*Base!F58*(1-Base!$B$31)+Base!F59+E$4*Base!F60+Base!F62+Base!F63</f>
        <v>756842.40510483</v>
      </c>
      <c r="F41" s="24" t="n">
        <f aca="false">$A$9*Base!G58*(1-Base!$B$31)+Base!G59+E$4*Base!G60+Base!G62+Base!G63</f>
        <v>733678.724726448</v>
      </c>
      <c r="G41" s="24" t="n">
        <f aca="false">$A$9*Base!H58*(1-Base!$B$31)+Base!H59+E$4*Base!H60+Base!H62+Base!H63</f>
        <v>710817.228238771</v>
      </c>
      <c r="H41" s="24" t="n">
        <f aca="false">$A$9*Base!I58*(1-Base!$B$31)+Base!I59+E$4*Base!I60+Base!I62+Base!I63</f>
        <v>688245.711252547</v>
      </c>
      <c r="I41" s="24" t="n">
        <f aca="false">$A$9*Base!J58*(1-Base!$B$31)+Base!J59+E$4*Base!J60+Base!J62+Base!J63</f>
        <v>665952.233560959</v>
      </c>
      <c r="J41" s="24" t="n">
        <f aca="false">$A$9*Base!K58*(1-Base!$B$31)+Base!K59+E$4*Base!K60+Base!K62+Base!K63</f>
        <v>643925.109263999</v>
      </c>
      <c r="K41" s="24" t="n">
        <f aca="false">$A$9*Base!L58*(1-Base!$B$31)+Base!L59+E$4*Base!L60+Base!L62+Base!L63</f>
        <v>622152.897159079</v>
      </c>
      <c r="L41" s="24" t="n">
        <f aca="false">$A$9*Base!M58*(1-Base!$B$31)+Base!M59+E$4*Base!M60+Base!M62+Base!M63</f>
        <v>600624.391388857</v>
      </c>
      <c r="M41" s="24" t="n">
        <f aca="false">$A$9*Base!N58*(1-Base!$B$31)+Base!N59+E$4*Base!N60+Base!N62+Base!N63</f>
        <v>579328.612337577</v>
      </c>
      <c r="N41" s="24" t="n">
        <f aca="false">$A$9*Base!O58*(1-Base!$B$31)+Base!O59+E$4*Base!O60+Base!O62+Base!O63</f>
        <v>558254.797767448</v>
      </c>
      <c r="O41" s="24" t="n">
        <f aca="false">$A$9*Base!P58*(1-Base!$B$31)+Base!P59+E$4*Base!P60+Base!P62+Base!P63</f>
        <v>537392.394186835</v>
      </c>
      <c r="P41" s="24" t="n">
        <f aca="false">$A$9*Base!Q58*(1-Base!$B$31)+Base!Q59+E$4*Base!Q60+Base!Q62+Base!Q63</f>
        <v>516731.048442284</v>
      </c>
      <c r="Q41" s="24" t="n">
        <f aca="false">$A$9*Base!R58*(1-Base!$B$31)+Base!R59+E$4*Base!R60+Base!R62+Base!R63</f>
        <v>496260.599526631</v>
      </c>
      <c r="R41" s="24" t="n">
        <f aca="false">$A$9*Base!S58*(1-Base!$B$31)+Base!S59+E$4*Base!S60+Base!S62+Base!S63</f>
        <v>0</v>
      </c>
      <c r="S41" s="24" t="n">
        <f aca="false">$A$9*Base!T58*(1-Base!$B$31)+Base!T59+E$4*Base!T60+Base!T62+Base!T63</f>
        <v>0</v>
      </c>
      <c r="T41" s="24" t="n">
        <f aca="false">$A$9*Base!U58*(1-Base!$B$31)+Base!U59+E$4*Base!U60+Base!U62+Base!U63</f>
        <v>0</v>
      </c>
      <c r="U41" s="24" t="n">
        <f aca="false">$A$9*Base!V58*(1-Base!$B$31)+Base!V59+E$4*Base!V60+Base!V62+Base!V63</f>
        <v>0</v>
      </c>
      <c r="V41" s="24" t="n">
        <f aca="false">$A$9*Base!W58*(1-Base!$B$31)+Base!W59+E$4*Base!W60+Base!W62+Base!W63</f>
        <v>0</v>
      </c>
    </row>
    <row r="42" customFormat="false" ht="15" hidden="false" customHeight="false" outlineLevel="0" collapsed="false">
      <c r="A42" s="0" t="str">
        <f aca="false">"Indtægt "&amp;TEXT($A$9,"0%")&amp;" / investering "&amp;TEXT(F$4,"0%")</f>
        <v>Indtægt 130% / investering 110%</v>
      </c>
      <c r="B42" s="24" t="n">
        <f aca="false">Base!C65*F$4</f>
        <v>-6875000</v>
      </c>
      <c r="C42" s="24" t="n">
        <f aca="false">$A$9*Base!D58*(1-Base!$B$31)+Base!D59+F$4*Base!D60+Base!D62+Base!D63</f>
        <v>792265.957194424</v>
      </c>
      <c r="D42" s="24" t="n">
        <f aca="false">$A$9*Base!E58*(1-Base!$B$31)+Base!E59+F$4*Base!E60+Base!E62+Base!E63</f>
        <v>768222.976896688</v>
      </c>
      <c r="E42" s="24" t="n">
        <f aca="false">$A$9*Base!F58*(1-Base!$B$31)+Base!F59+F$4*Base!F60+Base!F62+Base!F63</f>
        <v>744502.67848083</v>
      </c>
      <c r="F42" s="24" t="n">
        <f aca="false">$A$9*Base!G58*(1-Base!$B$31)+Base!G59+F$4*Base!G60+Base!G62+Base!G63</f>
        <v>721092.203569968</v>
      </c>
      <c r="G42" s="24" t="n">
        <f aca="false">$A$9*Base!H58*(1-Base!$B$31)+Base!H59+F$4*Base!H60+Base!H62+Base!H63</f>
        <v>697978.976659161</v>
      </c>
      <c r="H42" s="24" t="n">
        <f aca="false">$A$9*Base!I58*(1-Base!$B$31)+Base!I59+F$4*Base!I60+Base!I62+Base!I63</f>
        <v>675150.694641345</v>
      </c>
      <c r="I42" s="24" t="n">
        <f aca="false">$A$9*Base!J58*(1-Base!$B$31)+Base!J59+F$4*Base!J60+Base!J62+Base!J63</f>
        <v>652595.316617533</v>
      </c>
      <c r="J42" s="24" t="n">
        <f aca="false">$A$9*Base!K58*(1-Base!$B$31)+Base!K59+F$4*Base!K60+Base!K62+Base!K63</f>
        <v>630301.053981704</v>
      </c>
      <c r="K42" s="24" t="n">
        <f aca="false">$A$9*Base!L58*(1-Base!$B$31)+Base!L59+F$4*Base!L60+Base!L62+Base!L63</f>
        <v>608256.360771139</v>
      </c>
      <c r="L42" s="24" t="n">
        <f aca="false">$A$9*Base!M58*(1-Base!$B$31)+Base!M59+F$4*Base!M60+Base!M62+Base!M63</f>
        <v>586449.924273158</v>
      </c>
      <c r="M42" s="24" t="n">
        <f aca="false">$A$9*Base!N58*(1-Base!$B$31)+Base!N59+F$4*Base!N60+Base!N62+Base!N63</f>
        <v>564870.655879564</v>
      </c>
      <c r="N42" s="24" t="n">
        <f aca="false">$A$9*Base!O58*(1-Base!$B$31)+Base!O59+F$4*Base!O60+Base!O62+Base!O63</f>
        <v>543507.682180275</v>
      </c>
      <c r="O42" s="24" t="n">
        <f aca="false">$A$9*Base!P58*(1-Base!$B$31)+Base!P59+F$4*Base!P60+Base!P62+Base!P63</f>
        <v>522350.336287918</v>
      </c>
      <c r="P42" s="24" t="n">
        <f aca="false">$A$9*Base!Q58*(1-Base!$B$31)+Base!Q59+F$4*Base!Q60+Base!Q62+Base!Q63</f>
        <v>501388.149385389</v>
      </c>
      <c r="Q42" s="24" t="n">
        <f aca="false">$A$9*Base!R58*(1-Base!$B$31)+Base!R59+F$4*Base!R60+Base!R62+Base!R63</f>
        <v>480610.842488598</v>
      </c>
      <c r="R42" s="24" t="n">
        <f aca="false">$A$9*Base!S58*(1-Base!$B$31)+Base!S59+F$4*Base!S60+Base!S62+Base!S63</f>
        <v>0</v>
      </c>
      <c r="S42" s="24" t="n">
        <f aca="false">$A$9*Base!T58*(1-Base!$B$31)+Base!T59+F$4*Base!T60+Base!T62+Base!T63</f>
        <v>0</v>
      </c>
      <c r="T42" s="24" t="n">
        <f aca="false">$A$9*Base!U58*(1-Base!$B$31)+Base!U59+F$4*Base!U60+Base!U62+Base!U63</f>
        <v>0</v>
      </c>
      <c r="U42" s="24" t="n">
        <f aca="false">$A$9*Base!V58*(1-Base!$B$31)+Base!V59+F$4*Base!V60+Base!V62+Base!V63</f>
        <v>0</v>
      </c>
      <c r="V42" s="24" t="n">
        <f aca="false">$A$9*Base!W58*(1-Base!$B$31)+Base!W59+F$4*Base!W60+Base!W62+Base!W63</f>
        <v>0</v>
      </c>
    </row>
    <row r="43" customFormat="false" ht="15" hidden="false" customHeight="false" outlineLevel="0" collapsed="false">
      <c r="A43" s="0" t="str">
        <f aca="false">"Indtægt "&amp;TEXT($A$9,"0%")&amp;" / investering "&amp;TEXT(G$4,"0%")</f>
        <v>Indtægt 130% / investering 120%</v>
      </c>
      <c r="B43" s="24" t="n">
        <f aca="false">Base!C65*G$4</f>
        <v>-7500000</v>
      </c>
      <c r="C43" s="24" t="n">
        <f aca="false">$A$9*Base!D58*(1-Base!$B$31)+Base!D59+G$4*Base!D60+Base!D62+Base!D63</f>
        <v>780405.397194424</v>
      </c>
      <c r="D43" s="24" t="n">
        <f aca="false">$A$9*Base!E58*(1-Base!$B$31)+Base!E59+G$4*Base!E60+Base!E62+Base!E63</f>
        <v>756125.205696688</v>
      </c>
      <c r="E43" s="24" t="n">
        <f aca="false">$A$9*Base!F58*(1-Base!$B$31)+Base!F59+G$4*Base!F60+Base!F62+Base!F63</f>
        <v>732162.95185683</v>
      </c>
      <c r="F43" s="24" t="n">
        <f aca="false">$A$9*Base!G58*(1-Base!$B$31)+Base!G59+G$4*Base!G60+Base!G62+Base!G63</f>
        <v>708505.682413488</v>
      </c>
      <c r="G43" s="24" t="n">
        <f aca="false">$A$9*Base!H58*(1-Base!$B$31)+Base!H59+G$4*Base!H60+Base!H62+Base!H63</f>
        <v>685140.725079551</v>
      </c>
      <c r="H43" s="24" t="n">
        <f aca="false">$A$9*Base!I58*(1-Base!$B$31)+Base!I59+G$4*Base!I60+Base!I62+Base!I63</f>
        <v>662055.678030143</v>
      </c>
      <c r="I43" s="24" t="n">
        <f aca="false">$A$9*Base!J58*(1-Base!$B$31)+Base!J59+G$4*Base!J60+Base!J62+Base!J63</f>
        <v>639238.399674107</v>
      </c>
      <c r="J43" s="24" t="n">
        <f aca="false">$A$9*Base!K58*(1-Base!$B$31)+Base!K59+G$4*Base!K60+Base!K62+Base!K63</f>
        <v>616676.99869941</v>
      </c>
      <c r="K43" s="24" t="n">
        <f aca="false">$A$9*Base!L58*(1-Base!$B$31)+Base!L59+G$4*Base!L60+Base!L62+Base!L63</f>
        <v>594359.824383199</v>
      </c>
      <c r="L43" s="24" t="n">
        <f aca="false">$A$9*Base!M58*(1-Base!$B$31)+Base!M59+G$4*Base!M60+Base!M62+Base!M63</f>
        <v>572275.457157459</v>
      </c>
      <c r="M43" s="24" t="n">
        <f aca="false">$A$9*Base!N58*(1-Base!$B$31)+Base!N59+G$4*Base!N60+Base!N62+Base!N63</f>
        <v>550412.699421551</v>
      </c>
      <c r="N43" s="24" t="n">
        <f aca="false">$A$9*Base!O58*(1-Base!$B$31)+Base!O59+G$4*Base!O60+Base!O62+Base!O63</f>
        <v>528760.566593102</v>
      </c>
      <c r="O43" s="24" t="n">
        <f aca="false">$A$9*Base!P58*(1-Base!$B$31)+Base!P59+G$4*Base!P60+Base!P62+Base!P63</f>
        <v>507308.278389001</v>
      </c>
      <c r="P43" s="24" t="n">
        <f aca="false">$A$9*Base!Q58*(1-Base!$B$31)+Base!Q59+G$4*Base!Q60+Base!Q62+Base!Q63</f>
        <v>486045.250328493</v>
      </c>
      <c r="Q43" s="24" t="n">
        <f aca="false">$A$9*Base!R58*(1-Base!$B$31)+Base!R59+G$4*Base!R60+Base!R62+Base!R63</f>
        <v>464961.085450565</v>
      </c>
      <c r="R43" s="24" t="n">
        <f aca="false">$A$9*Base!S58*(1-Base!$B$31)+Base!S59+G$4*Base!S60+Base!S62+Base!S63</f>
        <v>0</v>
      </c>
      <c r="S43" s="24" t="n">
        <f aca="false">$A$9*Base!T58*(1-Base!$B$31)+Base!T59+G$4*Base!T60+Base!T62+Base!T63</f>
        <v>0</v>
      </c>
      <c r="T43" s="24" t="n">
        <f aca="false">$A$9*Base!U58*(1-Base!$B$31)+Base!U59+G$4*Base!U60+Base!U62+Base!U63</f>
        <v>0</v>
      </c>
      <c r="U43" s="24" t="n">
        <f aca="false">$A$9*Base!V58*(1-Base!$B$31)+Base!V59+G$4*Base!V60+Base!V62+Base!V63</f>
        <v>0</v>
      </c>
      <c r="V43" s="24" t="n">
        <f aca="false">$A$9*Base!W58*(1-Base!$B$31)+Base!W59+G$4*Base!W60+Base!W62+Base!W63</f>
        <v>0</v>
      </c>
    </row>
    <row r="44" customFormat="false" ht="15" hidden="false" customHeight="false" outlineLevel="0" collapsed="false">
      <c r="A44" s="0" t="str">
        <f aca="false">"Indtægt "&amp;TEXT($A$10,"0%")&amp;" / investering "&amp;TEXT(B$4,"0%")</f>
        <v>Indtægt 150% / investering 60%</v>
      </c>
      <c r="B44" s="24" t="n">
        <f aca="false">Base!C65*B$4</f>
        <v>-3750000</v>
      </c>
      <c r="C44" s="24" t="n">
        <f aca="false">$A$10*Base!D58*(1-Base!$B$31)+Base!D59+B$4*Base!D60+Base!D62+Base!D63</f>
        <v>1036564.37769164</v>
      </c>
      <c r="D44" s="24" t="n">
        <f aca="false">$A$10*Base!E58*(1-Base!$B$31)+Base!E59+B$4*Base!E60+Base!E62+Base!E63</f>
        <v>1010719.27849173</v>
      </c>
      <c r="E44" s="24" t="n">
        <f aca="false">$A$10*Base!F58*(1-Base!$B$31)+Base!F59+B$4*Base!F60+Base!F62+Base!F63</f>
        <v>985284.661133355</v>
      </c>
      <c r="F44" s="24" t="n">
        <f aca="false">$A$10*Base!G58*(1-Base!$B$31)+Base!G59+B$4*Base!G60+Base!G62+Base!G63</f>
        <v>960246.452071442</v>
      </c>
      <c r="G44" s="24" t="n">
        <f aca="false">$A$10*Base!H58*(1-Base!$B$31)+Base!H59+B$4*Base!H60+Base!H62+Base!H63</f>
        <v>935590.919412528</v>
      </c>
      <c r="H44" s="24" t="n">
        <f aca="false">$A$10*Base!I58*(1-Base!$B$31)+Base!I59+B$4*Base!I60+Base!I62+Base!I63</f>
        <v>911304.661134518</v>
      </c>
      <c r="I44" s="24" t="n">
        <f aca="false">$A$10*Base!J58*(1-Base!$B$31)+Base!J59+B$4*Base!J60+Base!J62+Base!J63</f>
        <v>887374.593640543</v>
      </c>
      <c r="J44" s="24" t="n">
        <f aca="false">$A$10*Base!K58*(1-Base!$B$31)+Base!K59+B$4*Base!K60+Base!K62+Base!K63</f>
        <v>863787.940636007</v>
      </c>
      <c r="K44" s="24" t="n">
        <f aca="false">$A$10*Base!L58*(1-Base!$B$31)+Base!L59+B$4*Base!L60+Base!L62+Base!L63</f>
        <v>840532.222318245</v>
      </c>
      <c r="L44" s="24" t="n">
        <f aca="false">$A$10*Base!M58*(1-Base!$B$31)+Base!M59+B$4*Base!M60+Base!M62+Base!M63</f>
        <v>817595.244868534</v>
      </c>
      <c r="M44" s="24" t="n">
        <f aca="false">$A$10*Base!N58*(1-Base!$B$31)+Base!N59+B$4*Base!N60+Base!N62+Base!N63</f>
        <v>794965.090236504</v>
      </c>
      <c r="N44" s="24" t="n">
        <f aca="false">$A$10*Base!O58*(1-Base!$B$31)+Base!O59+B$4*Base!O60+Base!O62+Base!O63</f>
        <v>772630.106207289</v>
      </c>
      <c r="O44" s="24" t="n">
        <f aca="false">$A$10*Base!P58*(1-Base!$B$31)+Base!P59+B$4*Base!P60+Base!P62+Base!P63</f>
        <v>750578.896742044</v>
      </c>
      <c r="P44" s="24" t="n">
        <f aca="false">$A$10*Base!Q58*(1-Base!$B$31)+Base!Q59+B$4*Base!Q60+Base!Q62+Base!Q63</f>
        <v>728800.312582738</v>
      </c>
      <c r="Q44" s="24" t="n">
        <f aca="false">$A$10*Base!R58*(1-Base!$B$31)+Base!R59+B$4*Base!R60+Base!R62+Base!R63</f>
        <v>707283.442112397</v>
      </c>
      <c r="R44" s="24" t="n">
        <f aca="false">$A$10*Base!S58*(1-Base!$B$31)+Base!S59+B$4*Base!S60+Base!S62+Base!S63</f>
        <v>0</v>
      </c>
      <c r="S44" s="24" t="n">
        <f aca="false">$A$10*Base!T58*(1-Base!$B$31)+Base!T59+B$4*Base!T60+Base!T62+Base!T63</f>
        <v>0</v>
      </c>
      <c r="T44" s="24" t="n">
        <f aca="false">$A$10*Base!U58*(1-Base!$B$31)+Base!U59+B$4*Base!U60+Base!U62+Base!U63</f>
        <v>0</v>
      </c>
      <c r="U44" s="24" t="n">
        <f aca="false">$A$10*Base!V58*(1-Base!$B$31)+Base!V59+B$4*Base!V60+Base!V62+Base!V63</f>
        <v>0</v>
      </c>
      <c r="V44" s="24" t="n">
        <f aca="false">$A$10*Base!W58*(1-Base!$B$31)+Base!W59+B$4*Base!W60+Base!W62+Base!W63</f>
        <v>0</v>
      </c>
    </row>
    <row r="45" customFormat="false" ht="15" hidden="false" customHeight="false" outlineLevel="0" collapsed="false">
      <c r="A45" s="0" t="str">
        <f aca="false">"Indtægt "&amp;TEXT($A$10,"0%")&amp;" / investering "&amp;TEXT(C$4,"0%")</f>
        <v>Indtægt 150% / investering 80%</v>
      </c>
      <c r="B45" s="24" t="n">
        <f aca="false">Base!C65*C$4</f>
        <v>-5000000</v>
      </c>
      <c r="C45" s="24" t="n">
        <f aca="false">$A$10*Base!D58*(1-Base!$B$31)+Base!D59+C$4*Base!D60+Base!D62+Base!D63</f>
        <v>1012843.25769164</v>
      </c>
      <c r="D45" s="24" t="n">
        <f aca="false">$A$10*Base!E58*(1-Base!$B$31)+Base!E59+C$4*Base!E60+Base!E62+Base!E63</f>
        <v>986523.736091731</v>
      </c>
      <c r="E45" s="24" t="n">
        <f aca="false">$A$10*Base!F58*(1-Base!$B$31)+Base!F59+C$4*Base!F60+Base!F62+Base!F63</f>
        <v>960605.207885355</v>
      </c>
      <c r="F45" s="24" t="n">
        <f aca="false">$A$10*Base!G58*(1-Base!$B$31)+Base!G59+C$4*Base!G60+Base!G62+Base!G63</f>
        <v>935073.409758483</v>
      </c>
      <c r="G45" s="24" t="n">
        <f aca="false">$A$10*Base!H58*(1-Base!$B$31)+Base!H59+C$4*Base!H60+Base!H62+Base!H63</f>
        <v>909914.416253309</v>
      </c>
      <c r="H45" s="24" t="n">
        <f aca="false">$A$10*Base!I58*(1-Base!$B$31)+Base!I59+C$4*Base!I60+Base!I62+Base!I63</f>
        <v>885114.627912114</v>
      </c>
      <c r="I45" s="24" t="n">
        <f aca="false">$A$10*Base!J58*(1-Base!$B$31)+Base!J59+C$4*Base!J60+Base!J62+Base!J63</f>
        <v>860660.759753691</v>
      </c>
      <c r="J45" s="24" t="n">
        <f aca="false">$A$10*Base!K58*(1-Base!$B$31)+Base!K59+C$4*Base!K60+Base!K62+Base!K63</f>
        <v>836539.830071419</v>
      </c>
      <c r="K45" s="24" t="n">
        <f aca="false">$A$10*Base!L58*(1-Base!$B$31)+Base!L59+C$4*Base!L60+Base!L62+Base!L63</f>
        <v>812739.149542365</v>
      </c>
      <c r="L45" s="24" t="n">
        <f aca="false">$A$10*Base!M58*(1-Base!$B$31)+Base!M59+C$4*Base!M60+Base!M62+Base!M63</f>
        <v>789246.310637136</v>
      </c>
      <c r="M45" s="24" t="n">
        <f aca="false">$A$10*Base!N58*(1-Base!$B$31)+Base!N59+C$4*Base!N60+Base!N62+Base!N63</f>
        <v>766049.177320478</v>
      </c>
      <c r="N45" s="24" t="n">
        <f aca="false">$A$10*Base!O58*(1-Base!$B$31)+Base!O59+C$4*Base!O60+Base!O62+Base!O63</f>
        <v>743135.875032942</v>
      </c>
      <c r="O45" s="24" t="n">
        <f aca="false">$A$10*Base!P58*(1-Base!$B$31)+Base!P59+C$4*Base!P60+Base!P62+Base!P63</f>
        <v>720494.78094421</v>
      </c>
      <c r="P45" s="24" t="n">
        <f aca="false">$A$10*Base!Q58*(1-Base!$B$31)+Base!Q59+C$4*Base!Q60+Base!Q62+Base!Q63</f>
        <v>698114.514468948</v>
      </c>
      <c r="Q45" s="24" t="n">
        <f aca="false">$A$10*Base!R58*(1-Base!$B$31)+Base!R59+C$4*Base!R60+Base!R62+Base!R63</f>
        <v>675983.928036331</v>
      </c>
      <c r="R45" s="24" t="n">
        <f aca="false">$A$10*Base!S58*(1-Base!$B$31)+Base!S59+C$4*Base!S60+Base!S62+Base!S63</f>
        <v>0</v>
      </c>
      <c r="S45" s="24" t="n">
        <f aca="false">$A$10*Base!T58*(1-Base!$B$31)+Base!T59+C$4*Base!T60+Base!T62+Base!T63</f>
        <v>0</v>
      </c>
      <c r="T45" s="24" t="n">
        <f aca="false">$A$10*Base!U58*(1-Base!$B$31)+Base!U59+C$4*Base!U60+Base!U62+Base!U63</f>
        <v>0</v>
      </c>
      <c r="U45" s="24" t="n">
        <f aca="false">$A$10*Base!V58*(1-Base!$B$31)+Base!V59+C$4*Base!V60+Base!V62+Base!V63</f>
        <v>0</v>
      </c>
      <c r="V45" s="24" t="n">
        <f aca="false">$A$10*Base!W58*(1-Base!$B$31)+Base!W59+C$4*Base!W60+Base!W62+Base!W63</f>
        <v>0</v>
      </c>
    </row>
    <row r="46" customFormat="false" ht="15" hidden="false" customHeight="false" outlineLevel="0" collapsed="false">
      <c r="A46" s="0" t="str">
        <f aca="false">"Indtægt "&amp;TEXT($A$10,"0%")&amp;" / investering "&amp;TEXT(D$4,"0%")</f>
        <v>Indtægt 150% / investering 90%</v>
      </c>
      <c r="B46" s="24" t="n">
        <f aca="false">Base!C65*D$4</f>
        <v>-5625000</v>
      </c>
      <c r="C46" s="24" t="n">
        <f aca="false">$A$10*Base!D58*(1-Base!$B$31)+Base!D59+D$4*Base!D60+Base!D62+Base!D63</f>
        <v>1000982.69769164</v>
      </c>
      <c r="D46" s="24" t="n">
        <f aca="false">$A$10*Base!E58*(1-Base!$B$31)+Base!E59+D$4*Base!E60+Base!E62+Base!E63</f>
        <v>974425.964891731</v>
      </c>
      <c r="E46" s="24" t="n">
        <f aca="false">$A$10*Base!F58*(1-Base!$B$31)+Base!F59+D$4*Base!F60+Base!F62+Base!F63</f>
        <v>948265.481261355</v>
      </c>
      <c r="F46" s="24" t="n">
        <f aca="false">$A$10*Base!G58*(1-Base!$B$31)+Base!G59+D$4*Base!G60+Base!G62+Base!G63</f>
        <v>922486.888602002</v>
      </c>
      <c r="G46" s="24" t="n">
        <f aca="false">$A$10*Base!H58*(1-Base!$B$31)+Base!H59+D$4*Base!H60+Base!H62+Base!H63</f>
        <v>897076.164673699</v>
      </c>
      <c r="H46" s="24" t="n">
        <f aca="false">$A$10*Base!I58*(1-Base!$B$31)+Base!I59+D$4*Base!I60+Base!I62+Base!I63</f>
        <v>872019.611300912</v>
      </c>
      <c r="I46" s="24" t="n">
        <f aca="false">$A$10*Base!J58*(1-Base!$B$31)+Base!J59+D$4*Base!J60+Base!J62+Base!J63</f>
        <v>847303.842810266</v>
      </c>
      <c r="J46" s="24" t="n">
        <f aca="false">$A$10*Base!K58*(1-Base!$B$31)+Base!K59+D$4*Base!K60+Base!K62+Base!K63</f>
        <v>822915.774789124</v>
      </c>
      <c r="K46" s="24" t="n">
        <f aca="false">$A$10*Base!L58*(1-Base!$B$31)+Base!L59+D$4*Base!L60+Base!L62+Base!L63</f>
        <v>798842.613154424</v>
      </c>
      <c r="L46" s="24" t="n">
        <f aca="false">$A$10*Base!M58*(1-Base!$B$31)+Base!M59+D$4*Base!M60+Base!M62+Base!M63</f>
        <v>775071.843521437</v>
      </c>
      <c r="M46" s="24" t="n">
        <f aca="false">$A$10*Base!N58*(1-Base!$B$31)+Base!N59+D$4*Base!N60+Base!N62+Base!N63</f>
        <v>751591.220862465</v>
      </c>
      <c r="N46" s="24" t="n">
        <f aca="false">$A$10*Base!O58*(1-Base!$B$31)+Base!O59+D$4*Base!O60+Base!O62+Base!O63</f>
        <v>728388.759445769</v>
      </c>
      <c r="O46" s="24" t="n">
        <f aca="false">$A$10*Base!P58*(1-Base!$B$31)+Base!P59+D$4*Base!P60+Base!P62+Base!P63</f>
        <v>705452.723045294</v>
      </c>
      <c r="P46" s="24" t="n">
        <f aca="false">$A$10*Base!Q58*(1-Base!$B$31)+Base!Q59+D$4*Base!Q60+Base!Q62+Base!Q63</f>
        <v>682771.615412053</v>
      </c>
      <c r="Q46" s="24" t="n">
        <f aca="false">$A$10*Base!R58*(1-Base!$B$31)+Base!R59+D$4*Base!R60+Base!R62+Base!R63</f>
        <v>660334.170998298</v>
      </c>
      <c r="R46" s="24" t="n">
        <f aca="false">$A$10*Base!S58*(1-Base!$B$31)+Base!S59+D$4*Base!S60+Base!S62+Base!S63</f>
        <v>0</v>
      </c>
      <c r="S46" s="24" t="n">
        <f aca="false">$A$10*Base!T58*(1-Base!$B$31)+Base!T59+D$4*Base!T60+Base!T62+Base!T63</f>
        <v>0</v>
      </c>
      <c r="T46" s="24" t="n">
        <f aca="false">$A$10*Base!U58*(1-Base!$B$31)+Base!U59+D$4*Base!U60+Base!U62+Base!U63</f>
        <v>0</v>
      </c>
      <c r="U46" s="24" t="n">
        <f aca="false">$A$10*Base!V58*(1-Base!$B$31)+Base!V59+D$4*Base!V60+Base!V62+Base!V63</f>
        <v>0</v>
      </c>
      <c r="V46" s="24" t="n">
        <f aca="false">$A$10*Base!W58*(1-Base!$B$31)+Base!W59+D$4*Base!W60+Base!W62+Base!W63</f>
        <v>0</v>
      </c>
    </row>
    <row r="47" customFormat="false" ht="15" hidden="false" customHeight="false" outlineLevel="0" collapsed="false">
      <c r="A47" s="0" t="str">
        <f aca="false">"Indtægt "&amp;TEXT($A$10,"0%")&amp;" / investering "&amp;TEXT(E$4,"0%")</f>
        <v>Indtægt 150% / investering 100%</v>
      </c>
      <c r="B47" s="24" t="n">
        <f aca="false">Base!C65*E$4</f>
        <v>-6250000</v>
      </c>
      <c r="C47" s="24" t="n">
        <f aca="false">$A$10*Base!D58*(1-Base!$B$31)+Base!D59+E$4*Base!D60+Base!D62+Base!D63</f>
        <v>989122.137691644</v>
      </c>
      <c r="D47" s="24" t="n">
        <f aca="false">$A$10*Base!E58*(1-Base!$B$31)+Base!E59+E$4*Base!E60+Base!E62+Base!E63</f>
        <v>962328.193691731</v>
      </c>
      <c r="E47" s="24" t="n">
        <f aca="false">$A$10*Base!F58*(1-Base!$B$31)+Base!F59+E$4*Base!F60+Base!F62+Base!F63</f>
        <v>935925.754637355</v>
      </c>
      <c r="F47" s="24" t="n">
        <f aca="false">$A$10*Base!G58*(1-Base!$B$31)+Base!G59+E$4*Base!G60+Base!G62+Base!G63</f>
        <v>909900.367445522</v>
      </c>
      <c r="G47" s="24" t="n">
        <f aca="false">$A$10*Base!H58*(1-Base!$B$31)+Base!H59+E$4*Base!H60+Base!H62+Base!H63</f>
        <v>884237.91309409</v>
      </c>
      <c r="H47" s="24" t="n">
        <f aca="false">$A$10*Base!I58*(1-Base!$B$31)+Base!I59+E$4*Base!I60+Base!I62+Base!I63</f>
        <v>858924.594689711</v>
      </c>
      <c r="I47" s="24" t="n">
        <f aca="false">$A$10*Base!J58*(1-Base!$B$31)+Base!J59+E$4*Base!J60+Base!J62+Base!J63</f>
        <v>833946.92586684</v>
      </c>
      <c r="J47" s="24" t="n">
        <f aca="false">$A$10*Base!K58*(1-Base!$B$31)+Base!K59+E$4*Base!K60+Base!K62+Base!K63</f>
        <v>809291.71950683</v>
      </c>
      <c r="K47" s="24" t="n">
        <f aca="false">$A$10*Base!L58*(1-Base!$B$31)+Base!L59+E$4*Base!L60+Base!L62+Base!L63</f>
        <v>784946.076766484</v>
      </c>
      <c r="L47" s="24" t="n">
        <f aca="false">$A$10*Base!M58*(1-Base!$B$31)+Base!M59+E$4*Base!M60+Base!M62+Base!M63</f>
        <v>760897.376405738</v>
      </c>
      <c r="M47" s="24" t="n">
        <f aca="false">$A$10*Base!N58*(1-Base!$B$31)+Base!N59+E$4*Base!N60+Base!N62+Base!N63</f>
        <v>737133.264404452</v>
      </c>
      <c r="N47" s="24" t="n">
        <f aca="false">$A$10*Base!O58*(1-Base!$B$31)+Base!O59+E$4*Base!O60+Base!O62+Base!O63</f>
        <v>713641.643858596</v>
      </c>
      <c r="O47" s="24" t="n">
        <f aca="false">$A$10*Base!P58*(1-Base!$B$31)+Base!P59+E$4*Base!P60+Base!P62+Base!P63</f>
        <v>690410.665146377</v>
      </c>
      <c r="P47" s="24" t="n">
        <f aca="false">$A$10*Base!Q58*(1-Base!$B$31)+Base!Q59+E$4*Base!Q60+Base!Q62+Base!Q63</f>
        <v>667428.716355158</v>
      </c>
      <c r="Q47" s="24" t="n">
        <f aca="false">$A$10*Base!R58*(1-Base!$B$31)+Base!R59+E$4*Base!R60+Base!R62+Base!R63</f>
        <v>644684.413960265</v>
      </c>
      <c r="R47" s="24" t="n">
        <f aca="false">$A$10*Base!S58*(1-Base!$B$31)+Base!S59+E$4*Base!S60+Base!S62+Base!S63</f>
        <v>0</v>
      </c>
      <c r="S47" s="24" t="n">
        <f aca="false">$A$10*Base!T58*(1-Base!$B$31)+Base!T59+E$4*Base!T60+Base!T62+Base!T63</f>
        <v>0</v>
      </c>
      <c r="T47" s="24" t="n">
        <f aca="false">$A$10*Base!U58*(1-Base!$B$31)+Base!U59+E$4*Base!U60+Base!U62+Base!U63</f>
        <v>0</v>
      </c>
      <c r="U47" s="24" t="n">
        <f aca="false">$A$10*Base!V58*(1-Base!$B$31)+Base!V59+E$4*Base!V60+Base!V62+Base!V63</f>
        <v>0</v>
      </c>
      <c r="V47" s="24" t="n">
        <f aca="false">$A$10*Base!W58*(1-Base!$B$31)+Base!W59+E$4*Base!W60+Base!W62+Base!W63</f>
        <v>0</v>
      </c>
    </row>
    <row r="48" customFormat="false" ht="15" hidden="false" customHeight="false" outlineLevel="0" collapsed="false">
      <c r="A48" s="0" t="str">
        <f aca="false">"Indtægt "&amp;TEXT($A$10,"0%")&amp;" / investering "&amp;TEXT(F$4,"0%")</f>
        <v>Indtægt 150% / investering 110%</v>
      </c>
      <c r="B48" s="24" t="n">
        <f aca="false">Base!C65*F$4</f>
        <v>-6875000</v>
      </c>
      <c r="C48" s="24" t="n">
        <f aca="false">$A$10*Base!D58*(1-Base!$B$31)+Base!D59+F$4*Base!D60+Base!D62+Base!D63</f>
        <v>977261.577691644</v>
      </c>
      <c r="D48" s="24" t="n">
        <f aca="false">$A$10*Base!E58*(1-Base!$B$31)+Base!E59+F$4*Base!E60+Base!E62+Base!E63</f>
        <v>950230.422491731</v>
      </c>
      <c r="E48" s="24" t="n">
        <f aca="false">$A$10*Base!F58*(1-Base!$B$31)+Base!F59+F$4*Base!F60+Base!F62+Base!F63</f>
        <v>923586.028013355</v>
      </c>
      <c r="F48" s="24" t="n">
        <f aca="false">$A$10*Base!G58*(1-Base!$B$31)+Base!G59+F$4*Base!G60+Base!G62+Base!G63</f>
        <v>897313.846289042</v>
      </c>
      <c r="G48" s="24" t="n">
        <f aca="false">$A$10*Base!H58*(1-Base!$B$31)+Base!H59+F$4*Base!H60+Base!H62+Base!H63</f>
        <v>871399.66151448</v>
      </c>
      <c r="H48" s="24" t="n">
        <f aca="false">$A$10*Base!I58*(1-Base!$B$31)+Base!I59+F$4*Base!I60+Base!I62+Base!I63</f>
        <v>845829.578078509</v>
      </c>
      <c r="I48" s="24" t="n">
        <f aca="false">$A$10*Base!J58*(1-Base!$B$31)+Base!J59+F$4*Base!J60+Base!J62+Base!J63</f>
        <v>820590.008923414</v>
      </c>
      <c r="J48" s="24" t="n">
        <f aca="false">$A$10*Base!K58*(1-Base!$B$31)+Base!K59+F$4*Base!K60+Base!K62+Base!K63</f>
        <v>795667.664224536</v>
      </c>
      <c r="K48" s="24" t="n">
        <f aca="false">$A$10*Base!L58*(1-Base!$B$31)+Base!L59+F$4*Base!L60+Base!L62+Base!L63</f>
        <v>771049.540378544</v>
      </c>
      <c r="L48" s="24" t="n">
        <f aca="false">$A$10*Base!M58*(1-Base!$B$31)+Base!M59+F$4*Base!M60+Base!M62+Base!M63</f>
        <v>746722.909290039</v>
      </c>
      <c r="M48" s="24" t="n">
        <f aca="false">$A$10*Base!N58*(1-Base!$B$31)+Base!N59+F$4*Base!N60+Base!N62+Base!N63</f>
        <v>722675.307946439</v>
      </c>
      <c r="N48" s="24" t="n">
        <f aca="false">$A$10*Base!O58*(1-Base!$B$31)+Base!O59+F$4*Base!O60+Base!O62+Base!O63</f>
        <v>698894.528271422</v>
      </c>
      <c r="O48" s="24" t="n">
        <f aca="false">$A$10*Base!P58*(1-Base!$B$31)+Base!P59+F$4*Base!P60+Base!P62+Base!P63</f>
        <v>675368.60724746</v>
      </c>
      <c r="P48" s="24" t="n">
        <f aca="false">$A$10*Base!Q58*(1-Base!$B$31)+Base!Q59+F$4*Base!Q60+Base!Q62+Base!Q63</f>
        <v>652085.817298262</v>
      </c>
      <c r="Q48" s="24" t="n">
        <f aca="false">$A$10*Base!R58*(1-Base!$B$31)+Base!R59+F$4*Base!R60+Base!R62+Base!R63</f>
        <v>629034.656922232</v>
      </c>
      <c r="R48" s="24" t="n">
        <f aca="false">$A$10*Base!S58*(1-Base!$B$31)+Base!S59+F$4*Base!S60+Base!S62+Base!S63</f>
        <v>0</v>
      </c>
      <c r="S48" s="24" t="n">
        <f aca="false">$A$10*Base!T58*(1-Base!$B$31)+Base!T59+F$4*Base!T60+Base!T62+Base!T63</f>
        <v>0</v>
      </c>
      <c r="T48" s="24" t="n">
        <f aca="false">$A$10*Base!U58*(1-Base!$B$31)+Base!U59+F$4*Base!U60+Base!U62+Base!U63</f>
        <v>0</v>
      </c>
      <c r="U48" s="24" t="n">
        <f aca="false">$A$10*Base!V58*(1-Base!$B$31)+Base!V59+F$4*Base!V60+Base!V62+Base!V63</f>
        <v>0</v>
      </c>
      <c r="V48" s="24" t="n">
        <f aca="false">$A$10*Base!W58*(1-Base!$B$31)+Base!W59+F$4*Base!W60+Base!W62+Base!W63</f>
        <v>0</v>
      </c>
    </row>
    <row r="49" customFormat="false" ht="15" hidden="false" customHeight="false" outlineLevel="0" collapsed="false">
      <c r="A49" s="0" t="str">
        <f aca="false">"Indtægt "&amp;TEXT($A$10,"0%")&amp;" / investering "&amp;TEXT(G$4,"0%")</f>
        <v>Indtægt 150% / investering 120%</v>
      </c>
      <c r="B49" s="24" t="n">
        <f aca="false">Base!C65*G$4</f>
        <v>-7500000</v>
      </c>
      <c r="C49" s="24" t="n">
        <f aca="false">$A$10*Base!D58*(1-Base!$B$31)+Base!D59+G$4*Base!D60+Base!D62+Base!D63</f>
        <v>965401.017691644</v>
      </c>
      <c r="D49" s="24" t="n">
        <f aca="false">$A$10*Base!E58*(1-Base!$B$31)+Base!E59+G$4*Base!E60+Base!E62+Base!E63</f>
        <v>938132.651291731</v>
      </c>
      <c r="E49" s="24" t="n">
        <f aca="false">$A$10*Base!F58*(1-Base!$B$31)+Base!F59+G$4*Base!F60+Base!F62+Base!F63</f>
        <v>911246.301389355</v>
      </c>
      <c r="F49" s="24" t="n">
        <f aca="false">$A$10*Base!G58*(1-Base!$B$31)+Base!G59+G$4*Base!G60+Base!G62+Base!G63</f>
        <v>884727.325132562</v>
      </c>
      <c r="G49" s="24" t="n">
        <f aca="false">$A$10*Base!H58*(1-Base!$B$31)+Base!H59+G$4*Base!H60+Base!H62+Base!H63</f>
        <v>858561.40993487</v>
      </c>
      <c r="H49" s="24" t="n">
        <f aca="false">$A$10*Base!I58*(1-Base!$B$31)+Base!I59+G$4*Base!I60+Base!I62+Base!I63</f>
        <v>832734.561467307</v>
      </c>
      <c r="I49" s="24" t="n">
        <f aca="false">$A$10*Base!J58*(1-Base!$B$31)+Base!J59+G$4*Base!J60+Base!J62+Base!J63</f>
        <v>807233.091979988</v>
      </c>
      <c r="J49" s="24" t="n">
        <f aca="false">$A$10*Base!K58*(1-Base!$B$31)+Base!K59+G$4*Base!K60+Base!K62+Base!K63</f>
        <v>782043.608942241</v>
      </c>
      <c r="K49" s="24" t="n">
        <f aca="false">$A$10*Base!L58*(1-Base!$B$31)+Base!L59+G$4*Base!L60+Base!L62+Base!L63</f>
        <v>757153.003990604</v>
      </c>
      <c r="L49" s="24" t="n">
        <f aca="false">$A$10*Base!M58*(1-Base!$B$31)+Base!M59+G$4*Base!M60+Base!M62+Base!M63</f>
        <v>732548.44217434</v>
      </c>
      <c r="M49" s="24" t="n">
        <f aca="false">$A$10*Base!N58*(1-Base!$B$31)+Base!N59+G$4*Base!N60+Base!N62+Base!N63</f>
        <v>708217.351488426</v>
      </c>
      <c r="N49" s="24" t="n">
        <f aca="false">$A$10*Base!O58*(1-Base!$B$31)+Base!O59+G$4*Base!O60+Base!O62+Base!O63</f>
        <v>684147.412684249</v>
      </c>
      <c r="O49" s="24" t="n">
        <f aca="false">$A$10*Base!P58*(1-Base!$B$31)+Base!P59+G$4*Base!P60+Base!P62+Base!P63</f>
        <v>660326.549348543</v>
      </c>
      <c r="P49" s="24" t="n">
        <f aca="false">$A$10*Base!Q58*(1-Base!$B$31)+Base!Q59+G$4*Base!Q60+Base!Q62+Base!Q63</f>
        <v>636742.918241367</v>
      </c>
      <c r="Q49" s="24" t="n">
        <f aca="false">$A$10*Base!R58*(1-Base!$B$31)+Base!R59+G$4*Base!R60+Base!R62+Base!R63</f>
        <v>613384.899884199</v>
      </c>
      <c r="R49" s="24" t="n">
        <f aca="false">$A$10*Base!S58*(1-Base!$B$31)+Base!S59+G$4*Base!S60+Base!S62+Base!S63</f>
        <v>0</v>
      </c>
      <c r="S49" s="24" t="n">
        <f aca="false">$A$10*Base!T58*(1-Base!$B$31)+Base!T59+G$4*Base!T60+Base!T62+Base!T63</f>
        <v>0</v>
      </c>
      <c r="T49" s="24" t="n">
        <f aca="false">$A$10*Base!U58*(1-Base!$B$31)+Base!U59+G$4*Base!U60+Base!U62+Base!U63</f>
        <v>0</v>
      </c>
      <c r="U49" s="24" t="n">
        <f aca="false">$A$10*Base!V58*(1-Base!$B$31)+Base!V59+G$4*Base!V60+Base!V62+Base!V63</f>
        <v>0</v>
      </c>
      <c r="V49" s="24" t="n">
        <f aca="false">$A$10*Base!W58*(1-Base!$B$31)+Base!W59+G$4*Base!W60+Base!W62+Base!W63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" t="s">
        <v>198</v>
      </c>
      <c r="B1" s="3" t="s">
        <v>323</v>
      </c>
      <c r="C1" s="3" t="s">
        <v>324</v>
      </c>
      <c r="D1" s="3" t="s">
        <v>325</v>
      </c>
    </row>
    <row r="2" customFormat="false" ht="28.35" hidden="false" customHeight="false" outlineLevel="0" collapsed="false">
      <c r="A2" s="15" t="s">
        <v>326</v>
      </c>
      <c r="B2" s="15" t="s">
        <v>327</v>
      </c>
      <c r="C2" s="15" t="s">
        <v>328</v>
      </c>
      <c r="D2" s="15" t="s">
        <v>329</v>
      </c>
    </row>
    <row r="3" customFormat="false" ht="28.35" hidden="false" customHeight="false" outlineLevel="0" collapsed="false">
      <c r="A3" s="15" t="s">
        <v>330</v>
      </c>
      <c r="B3" s="15" t="s">
        <v>331</v>
      </c>
      <c r="C3" s="15" t="s">
        <v>332</v>
      </c>
      <c r="D3" s="15" t="s">
        <v>333</v>
      </c>
    </row>
    <row r="4" customFormat="false" ht="28.35" hidden="false" customHeight="false" outlineLevel="0" collapsed="false">
      <c r="A4" s="15" t="s">
        <v>334</v>
      </c>
      <c r="B4" s="15" t="s">
        <v>335</v>
      </c>
      <c r="C4" s="15" t="s">
        <v>336</v>
      </c>
      <c r="D4" s="15" t="s">
        <v>337</v>
      </c>
    </row>
    <row r="5" customFormat="false" ht="28.35" hidden="false" customHeight="false" outlineLevel="0" collapsed="false">
      <c r="A5" s="15" t="s">
        <v>338</v>
      </c>
      <c r="B5" s="15" t="s">
        <v>339</v>
      </c>
      <c r="C5" s="15" t="s">
        <v>340</v>
      </c>
      <c r="D5" s="15" t="s">
        <v>341</v>
      </c>
    </row>
    <row r="6" customFormat="false" ht="28.35" hidden="false" customHeight="false" outlineLevel="0" collapsed="false">
      <c r="A6" s="15" t="s">
        <v>342</v>
      </c>
      <c r="B6" s="15" t="s">
        <v>343</v>
      </c>
      <c r="C6" s="15" t="s">
        <v>344</v>
      </c>
      <c r="D6" s="15" t="s">
        <v>345</v>
      </c>
    </row>
    <row r="7" customFormat="false" ht="28.35" hidden="false" customHeight="false" outlineLevel="0" collapsed="false">
      <c r="A7" s="15" t="s">
        <v>346</v>
      </c>
      <c r="B7" s="15" t="s">
        <v>347</v>
      </c>
      <c r="C7" s="15" t="s">
        <v>348</v>
      </c>
      <c r="D7" s="15" t="s">
        <v>349</v>
      </c>
    </row>
    <row r="8" customFormat="false" ht="28.35" hidden="false" customHeight="false" outlineLevel="0" collapsed="false">
      <c r="A8" s="15" t="s">
        <v>350</v>
      </c>
      <c r="B8" s="15" t="s">
        <v>351</v>
      </c>
      <c r="C8" s="15" t="s">
        <v>352</v>
      </c>
      <c r="D8" s="15" t="s">
        <v>353</v>
      </c>
    </row>
    <row r="9" customFormat="false" ht="28.35" hidden="false" customHeight="false" outlineLevel="0" collapsed="false">
      <c r="A9" s="15" t="s">
        <v>354</v>
      </c>
      <c r="B9" s="15" t="s">
        <v>355</v>
      </c>
      <c r="C9" s="15" t="s">
        <v>356</v>
      </c>
      <c r="D9" s="15" t="s">
        <v>357</v>
      </c>
    </row>
    <row r="10" customFormat="false" ht="28.35" hidden="false" customHeight="false" outlineLevel="0" collapsed="false">
      <c r="A10" s="15" t="s">
        <v>358</v>
      </c>
      <c r="B10" s="15" t="s">
        <v>335</v>
      </c>
      <c r="C10" s="15" t="s">
        <v>359</v>
      </c>
      <c r="D10" s="15" t="s">
        <v>360</v>
      </c>
    </row>
    <row r="11" customFormat="false" ht="28.35" hidden="false" customHeight="false" outlineLevel="0" collapsed="false">
      <c r="A11" s="15" t="s">
        <v>361</v>
      </c>
      <c r="B11" s="15" t="s">
        <v>362</v>
      </c>
      <c r="C11" s="15" t="s">
        <v>363</v>
      </c>
      <c r="D11" s="15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2026-10-13T14:42:03Z</dcterms:created>
  <dc:creator>openpyxl</dc:creator>
  <dc:description/>
  <dc:language>en-US</dc:language>
  <cp:lastModifiedBy/>
  <dcterms:modified xsi:type="dcterms:W3CDTF">2026-10-13T14:42:04Z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